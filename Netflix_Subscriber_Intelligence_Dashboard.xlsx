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https://d.docs.live.net/8ec85cdf294ed4bf/ドキュメント/Excel/Project/"/>
    </mc:Choice>
  </mc:AlternateContent>
  <xr:revisionPtr revIDLastSave="1302" documentId="11_FFC65FC093C1EDF270160B88F3E3536A6A181769" xr6:coauthVersionLast="47" xr6:coauthVersionMax="47" xr10:uidLastSave="{539F1B53-60D8-4F80-94F9-9AE5B4725989}"/>
  <bookViews>
    <workbookView xWindow="-108" yWindow="-108" windowWidth="23256" windowHeight="12456" tabRatio="729" firstSheet="1" activeTab="7" xr2:uid="{00000000-000D-0000-FFFF-FFFF00000000}"/>
  </bookViews>
  <sheets>
    <sheet name="KPI" sheetId="17" state="hidden" r:id="rId1"/>
    <sheet name="Netflix_Subscriber_Data" sheetId="7" r:id="rId2"/>
    <sheet name="Regional Churn Concentration (G" sheetId="13" state="hidden" r:id="rId3"/>
    <sheet name="Content Inventory Strategy (Gen" sheetId="12" state="hidden" r:id="rId4"/>
    <sheet name="Revenue Distribution by Subscri" sheetId="14" state="hidden" r:id="rId5"/>
    <sheet name="Device Engagement vs.Churn Rate" sheetId="15" state="hidden" r:id="rId6"/>
    <sheet name="Subscriber_Age" sheetId="16" state="hidden" r:id="rId7"/>
    <sheet name="Netflix_Subscriber_Dashboard" sheetId="11" r:id="rId8"/>
  </sheets>
  <definedNames>
    <definedName name="_xlnm._FilterDatabase" localSheetId="1" hidden="1">Netflix_Subscriber_Data!$A$1:$N$101</definedName>
    <definedName name="Slicer_Account_Status">#N/A</definedName>
    <definedName name="Slicer_Country">#N/A</definedName>
    <definedName name="Slicer_Subscription_Tier">#N/A</definedName>
  </definedNames>
  <calcPr calcId="191029"/>
  <pivotCaches>
    <pivotCache cacheId="3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0" i="7" l="1"/>
  <c r="Q5" i="11"/>
  <c r="B5" i="11"/>
  <c r="L5" i="11"/>
  <c r="G5" i="11"/>
  <c r="Q16" i="7" l="1"/>
  <c r="Q14" i="7"/>
  <c r="Q18" i="7"/>
  <c r="Q3" i="7"/>
  <c r="Q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2" i="7"/>
  <c r="M3" i="7" a="1"/>
  <c r="M3" i="7" s="1"/>
  <c r="M4" i="7" a="1"/>
  <c r="M4" i="7" s="1"/>
  <c r="M5" i="7" a="1"/>
  <c r="M5" i="7" s="1"/>
  <c r="M6" i="7" a="1"/>
  <c r="M6" i="7" s="1"/>
  <c r="M7" i="7" a="1"/>
  <c r="M7" i="7" s="1"/>
  <c r="M8" i="7" a="1"/>
  <c r="M8" i="7"/>
  <c r="M9" i="7" a="1"/>
  <c r="M9" i="7"/>
  <c r="M10" i="7" a="1"/>
  <c r="M10" i="7" s="1"/>
  <c r="M11" i="7" a="1"/>
  <c r="M11" i="7" s="1"/>
  <c r="M12" i="7" a="1"/>
  <c r="M12" i="7" s="1"/>
  <c r="M13" i="7" a="1"/>
  <c r="M13" i="7" s="1"/>
  <c r="M14" i="7" a="1"/>
  <c r="M14" i="7"/>
  <c r="M15" i="7" a="1"/>
  <c r="M15" i="7" s="1"/>
  <c r="M16" i="7" a="1"/>
  <c r="M16" i="7" s="1"/>
  <c r="M17" i="7" a="1"/>
  <c r="M17" i="7" s="1"/>
  <c r="M18" i="7" a="1"/>
  <c r="M18" i="7"/>
  <c r="M19" i="7" a="1"/>
  <c r="M19" i="7" s="1"/>
  <c r="M20" i="7" a="1"/>
  <c r="M20" i="7" s="1"/>
  <c r="M21" i="7" a="1"/>
  <c r="M21" i="7"/>
  <c r="M22" i="7" a="1"/>
  <c r="M22" i="7" s="1"/>
  <c r="M23" i="7" a="1"/>
  <c r="M23" i="7" s="1"/>
  <c r="M24" i="7" a="1"/>
  <c r="M24" i="7"/>
  <c r="M25" i="7" a="1"/>
  <c r="M25" i="7" s="1"/>
  <c r="M26" i="7" a="1"/>
  <c r="M26" i="7"/>
  <c r="M27" i="7" a="1"/>
  <c r="M27" i="7" s="1"/>
  <c r="M28" i="7" a="1"/>
  <c r="M28" i="7" s="1"/>
  <c r="M29" i="7" a="1"/>
  <c r="M29" i="7" s="1"/>
  <c r="M30" i="7" a="1"/>
  <c r="M30" i="7"/>
  <c r="M31" i="7" a="1"/>
  <c r="M31" i="7" s="1"/>
  <c r="M32" i="7" a="1"/>
  <c r="M32" i="7"/>
  <c r="M33" i="7" a="1"/>
  <c r="M33" i="7" s="1"/>
  <c r="M34" i="7" a="1"/>
  <c r="M34" i="7" s="1"/>
  <c r="M35" i="7" a="1"/>
  <c r="M35" i="7" s="1"/>
  <c r="M36" i="7" a="1"/>
  <c r="M36" i="7" s="1"/>
  <c r="M37" i="7" a="1"/>
  <c r="M37" i="7"/>
  <c r="M38" i="7" a="1"/>
  <c r="M38" i="7" s="1"/>
  <c r="M39" i="7" a="1"/>
  <c r="M39" i="7" s="1"/>
  <c r="M40" i="7" a="1"/>
  <c r="M40" i="7" s="1"/>
  <c r="M41" i="7" a="1"/>
  <c r="M41" i="7"/>
  <c r="M42" i="7" a="1"/>
  <c r="M42" i="7"/>
  <c r="M43" i="7" a="1"/>
  <c r="M43" i="7" s="1"/>
  <c r="M44" i="7" a="1"/>
  <c r="M44" i="7" s="1"/>
  <c r="M45" i="7" a="1"/>
  <c r="M45" i="7" s="1"/>
  <c r="M46" i="7" a="1"/>
  <c r="M46" i="7"/>
  <c r="M47" i="7" a="1"/>
  <c r="M47" i="7" s="1"/>
  <c r="M48" i="7" a="1"/>
  <c r="M48" i="7" s="1"/>
  <c r="M49" i="7" a="1"/>
  <c r="M49" i="7" s="1"/>
  <c r="M50" i="7" a="1"/>
  <c r="M50" i="7" s="1"/>
  <c r="M51" i="7" a="1"/>
  <c r="M51" i="7" s="1"/>
  <c r="M52" i="7" a="1"/>
  <c r="M52" i="7" s="1"/>
  <c r="M53" i="7" a="1"/>
  <c r="M53" i="7"/>
  <c r="M54" i="7" a="1"/>
  <c r="M54" i="7" s="1"/>
  <c r="M55" i="7" a="1"/>
  <c r="M55" i="7" s="1"/>
  <c r="M56" i="7" a="1"/>
  <c r="M56" i="7" s="1"/>
  <c r="M57" i="7" a="1"/>
  <c r="M57" i="7" s="1"/>
  <c r="M58" i="7" a="1"/>
  <c r="M58" i="7"/>
  <c r="M59" i="7" a="1"/>
  <c r="M59" i="7" s="1"/>
  <c r="M60" i="7" a="1"/>
  <c r="M60" i="7" s="1"/>
  <c r="M61" i="7" a="1"/>
  <c r="M61" i="7" s="1"/>
  <c r="M62" i="7" a="1"/>
  <c r="M62" i="7"/>
  <c r="M63" i="7" a="1"/>
  <c r="M63" i="7" s="1"/>
  <c r="M64" i="7" a="1"/>
  <c r="M64" i="7"/>
  <c r="M65" i="7" a="1"/>
  <c r="M65" i="7" s="1"/>
  <c r="M66" i="7" a="1"/>
  <c r="M66" i="7" s="1"/>
  <c r="M67" i="7" a="1"/>
  <c r="M67" i="7" s="1"/>
  <c r="M68" i="7" a="1"/>
  <c r="M68" i="7" s="1"/>
  <c r="M69" i="7" a="1"/>
  <c r="M69" i="7"/>
  <c r="M70" i="7" a="1"/>
  <c r="M70" i="7" s="1"/>
  <c r="M71" i="7" a="1"/>
  <c r="M71" i="7" s="1"/>
  <c r="M72" i="7" a="1"/>
  <c r="M72" i="7" s="1"/>
  <c r="M73" i="7" a="1"/>
  <c r="M73" i="7"/>
  <c r="M74" i="7" a="1"/>
  <c r="M74" i="7"/>
  <c r="M75" i="7" a="1"/>
  <c r="M75" i="7" s="1"/>
  <c r="M76" i="7" a="1"/>
  <c r="M76" i="7" s="1"/>
  <c r="M77" i="7" a="1"/>
  <c r="M77" i="7" s="1"/>
  <c r="M78" i="7" a="1"/>
  <c r="M78" i="7"/>
  <c r="M79" i="7" a="1"/>
  <c r="M79" i="7" s="1"/>
  <c r="M80" i="7" a="1"/>
  <c r="M80" i="7" s="1"/>
  <c r="M81" i="7" a="1"/>
  <c r="M81" i="7"/>
  <c r="M82" i="7" a="1"/>
  <c r="M82" i="7" s="1"/>
  <c r="M83" i="7" a="1"/>
  <c r="M83" i="7" s="1"/>
  <c r="M84" i="7" a="1"/>
  <c r="M84" i="7" s="1"/>
  <c r="M85" i="7" a="1"/>
  <c r="M85" i="7"/>
  <c r="M86" i="7" a="1"/>
  <c r="M86" i="7" s="1"/>
  <c r="M87" i="7" a="1"/>
  <c r="M87" i="7" s="1"/>
  <c r="M88" i="7" a="1"/>
  <c r="M88" i="7" s="1"/>
  <c r="M89" i="7" a="1"/>
  <c r="M89" i="7" s="1"/>
  <c r="M90" i="7" a="1"/>
  <c r="M90" i="7"/>
  <c r="M91" i="7" a="1"/>
  <c r="M91" i="7" s="1"/>
  <c r="M92" i="7" a="1"/>
  <c r="M92" i="7"/>
  <c r="M93" i="7" a="1"/>
  <c r="M93" i="7" s="1"/>
  <c r="M94" i="7" a="1"/>
  <c r="M94" i="7" s="1"/>
  <c r="M95" i="7" a="1"/>
  <c r="M95" i="7" s="1"/>
  <c r="M96" i="7" a="1"/>
  <c r="M96" i="7"/>
  <c r="M97" i="7" a="1"/>
  <c r="M97" i="7"/>
  <c r="M98" i="7" a="1"/>
  <c r="M98" i="7" s="1"/>
  <c r="M99" i="7" a="1"/>
  <c r="M99" i="7" s="1"/>
  <c r="M100" i="7" a="1"/>
  <c r="M100" i="7" s="1"/>
  <c r="M101" i="7" a="1"/>
  <c r="M101" i="7"/>
  <c r="M2" i="7" a="1"/>
  <c r="M2" i="7" s="1"/>
  <c r="L3" i="7" a="1"/>
  <c r="L3" i="7" s="1"/>
  <c r="L2" i="7" a="1"/>
  <c r="L2" i="7" s="1"/>
  <c r="L4" i="7" a="1"/>
  <c r="L4" i="7" s="1"/>
  <c r="L5" i="7" a="1"/>
  <c r="L5" i="7"/>
  <c r="L6" i="7" a="1"/>
  <c r="L6" i="7"/>
  <c r="L7" i="7" a="1"/>
  <c r="L7" i="7" s="1"/>
  <c r="L8" i="7" a="1"/>
  <c r="L8" i="7" s="1"/>
  <c r="L9" i="7" a="1"/>
  <c r="L9" i="7" s="1"/>
  <c r="L10" i="7" a="1"/>
  <c r="L10" i="7"/>
  <c r="L11" i="7" a="1"/>
  <c r="L11" i="7" s="1"/>
  <c r="L12" i="7" a="1"/>
  <c r="L12" i="7" s="1"/>
  <c r="L13" i="7" a="1"/>
  <c r="L13" i="7"/>
  <c r="L14" i="7" a="1"/>
  <c r="L14" i="7" s="1"/>
  <c r="L15" i="7" a="1"/>
  <c r="L15" i="7" s="1"/>
  <c r="L16" i="7" a="1"/>
  <c r="L16" i="7" s="1"/>
  <c r="L17" i="7" a="1"/>
  <c r="L17" i="7"/>
  <c r="L18" i="7" a="1"/>
  <c r="L18" i="7" s="1"/>
  <c r="L19" i="7" a="1"/>
  <c r="L19" i="7" s="1"/>
  <c r="L20" i="7" a="1"/>
  <c r="L20" i="7" s="1"/>
  <c r="L21" i="7" a="1"/>
  <c r="L21" i="7" s="1"/>
  <c r="L22" i="7" a="1"/>
  <c r="L22" i="7"/>
  <c r="L23" i="7" a="1"/>
  <c r="L23" i="7" s="1"/>
  <c r="L24" i="7" a="1"/>
  <c r="L24" i="7"/>
  <c r="L25" i="7" a="1"/>
  <c r="L25" i="7" s="1"/>
  <c r="L26" i="7" a="1"/>
  <c r="L26" i="7" s="1"/>
  <c r="L27" i="7" a="1"/>
  <c r="L27" i="7" s="1"/>
  <c r="L28" i="7" a="1"/>
  <c r="L28" i="7"/>
  <c r="L29" i="7" a="1"/>
  <c r="L29" i="7"/>
  <c r="L30" i="7" a="1"/>
  <c r="L30" i="7" s="1"/>
  <c r="L31" i="7" a="1"/>
  <c r="L31" i="7" s="1"/>
  <c r="L32" i="7" a="1"/>
  <c r="L32" i="7" s="1"/>
  <c r="L33" i="7" a="1"/>
  <c r="L33" i="7"/>
  <c r="L34" i="7" a="1"/>
  <c r="L34" i="7" s="1"/>
  <c r="L35" i="7" a="1"/>
  <c r="L35" i="7" s="1"/>
  <c r="L36" i="7" a="1"/>
  <c r="L36" i="7" s="1"/>
  <c r="L37" i="7" a="1"/>
  <c r="L37" i="7" s="1"/>
  <c r="L38" i="7" a="1"/>
  <c r="L38" i="7"/>
  <c r="L39" i="7" a="1"/>
  <c r="L39" i="7" s="1"/>
  <c r="L40" i="7" a="1"/>
  <c r="L40" i="7"/>
  <c r="L41" i="7" a="1"/>
  <c r="L41" i="7" s="1"/>
  <c r="L42" i="7" a="1"/>
  <c r="L42" i="7" s="1"/>
  <c r="L43" i="7" a="1"/>
  <c r="L43" i="7" s="1"/>
  <c r="L44" i="7" a="1"/>
  <c r="L44" i="7" s="1"/>
  <c r="L45" i="7" a="1"/>
  <c r="L45" i="7"/>
  <c r="L46" i="7" a="1"/>
  <c r="L46" i="7" s="1"/>
  <c r="L47" i="7" a="1"/>
  <c r="L47" i="7" s="1"/>
  <c r="L48" i="7" a="1"/>
  <c r="L48" i="7" s="1"/>
  <c r="L49" i="7" a="1"/>
  <c r="L49" i="7"/>
  <c r="L50" i="7" a="1"/>
  <c r="L50" i="7" s="1"/>
  <c r="L51" i="7" a="1"/>
  <c r="L51" i="7" s="1"/>
  <c r="L52" i="7" a="1"/>
  <c r="L52" i="7" s="1"/>
  <c r="L53" i="7" a="1"/>
  <c r="L53" i="7" s="1"/>
  <c r="L54" i="7" a="1"/>
  <c r="L54" i="7"/>
  <c r="L55" i="7" a="1"/>
  <c r="L55" i="7" s="1"/>
  <c r="L56" i="7" a="1"/>
  <c r="L56" i="7" s="1"/>
  <c r="L57" i="7" a="1"/>
  <c r="L57" i="7" s="1"/>
  <c r="L58" i="7" a="1"/>
  <c r="L58" i="7" s="1"/>
  <c r="L59" i="7" a="1"/>
  <c r="L59" i="7" s="1"/>
  <c r="L60" i="7" a="1"/>
  <c r="L60" i="7"/>
  <c r="L61" i="7" a="1"/>
  <c r="L61" i="7"/>
  <c r="L62" i="7" a="1"/>
  <c r="L62" i="7" s="1"/>
  <c r="L63" i="7" a="1"/>
  <c r="L63" i="7" s="1"/>
  <c r="L64" i="7" a="1"/>
  <c r="L64" i="7" s="1"/>
  <c r="L65" i="7" a="1"/>
  <c r="L65" i="7"/>
  <c r="L66" i="7" a="1"/>
  <c r="L66" i="7" s="1"/>
  <c r="L67" i="7" a="1"/>
  <c r="L67" i="7" s="1"/>
  <c r="L68" i="7" a="1"/>
  <c r="L68" i="7"/>
  <c r="L69" i="7" a="1"/>
  <c r="L69" i="7" s="1"/>
  <c r="L70" i="7" a="1"/>
  <c r="L70" i="7"/>
  <c r="L71" i="7" a="1"/>
  <c r="L71" i="7" s="1"/>
  <c r="L72" i="7" a="1"/>
  <c r="L72" i="7"/>
  <c r="L73" i="7" a="1"/>
  <c r="L73" i="7" s="1"/>
  <c r="L74" i="7" a="1"/>
  <c r="L74" i="7" s="1"/>
  <c r="L75" i="7" a="1"/>
  <c r="L75" i="7" s="1"/>
  <c r="L76" i="7" a="1"/>
  <c r="L76" i="7" s="1"/>
  <c r="L77" i="7" a="1"/>
  <c r="L77" i="7"/>
  <c r="L78" i="7" a="1"/>
  <c r="L78" i="7"/>
  <c r="L79" i="7" a="1"/>
  <c r="L79" i="7" s="1"/>
  <c r="L80" i="7" a="1"/>
  <c r="L80" i="7" s="1"/>
  <c r="L81" i="7" a="1"/>
  <c r="L81" i="7"/>
  <c r="L82" i="7" a="1"/>
  <c r="L82" i="7" s="1"/>
  <c r="L83" i="7" a="1"/>
  <c r="L83" i="7" s="1"/>
  <c r="L84" i="7" a="1"/>
  <c r="L84" i="7"/>
  <c r="L85" i="7" a="1"/>
  <c r="L85" i="7" s="1"/>
  <c r="L86" i="7" a="1"/>
  <c r="L86" i="7" s="1"/>
  <c r="L87" i="7" a="1"/>
  <c r="L87" i="7" s="1"/>
  <c r="L88" i="7" a="1"/>
  <c r="L88" i="7"/>
  <c r="L89" i="7" a="1"/>
  <c r="L89" i="7"/>
  <c r="L90" i="7" a="1"/>
  <c r="L90" i="7" s="1"/>
  <c r="L91" i="7" a="1"/>
  <c r="L91" i="7" s="1"/>
  <c r="L92" i="7" a="1"/>
  <c r="L92" i="7"/>
  <c r="L93" i="7" a="1"/>
  <c r="L93" i="7"/>
  <c r="L94" i="7" a="1"/>
  <c r="L94" i="7" s="1"/>
  <c r="L95" i="7" a="1"/>
  <c r="L95" i="7" s="1"/>
  <c r="L96" i="7" a="1"/>
  <c r="L96" i="7" s="1"/>
  <c r="L97" i="7" a="1"/>
  <c r="L97" i="7"/>
  <c r="L98" i="7" a="1"/>
  <c r="L98" i="7" s="1"/>
  <c r="L99" i="7" a="1"/>
  <c r="L99" i="7" s="1"/>
  <c r="L100" i="7" a="1"/>
  <c r="L100" i="7"/>
  <c r="L101" i="7" a="1"/>
  <c r="L101" i="7" s="1"/>
  <c r="Q8" i="7" l="1"/>
  <c r="Q7" i="7"/>
  <c r="Q6" i="7"/>
  <c r="Q11" i="7"/>
  <c r="Q10" i="7"/>
  <c r="Q9"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<sst xmlns="http://schemas.openxmlformats.org/spreadsheetml/2006/main" count="801" uniqueCount="166">
  <si>
    <t>User_ID</t>
  </si>
  <si>
    <t>Age</t>
  </si>
  <si>
    <t>Gender</t>
  </si>
  <si>
    <t>Device_Type</t>
  </si>
  <si>
    <t>Primary_Genre</t>
  </si>
  <si>
    <t>Monthly_Watch_Hours</t>
  </si>
  <si>
    <t>Content_Completion_Rate_Pct</t>
  </si>
  <si>
    <t>Subscription_Tier</t>
  </si>
  <si>
    <t>Female</t>
  </si>
  <si>
    <t>Male</t>
  </si>
  <si>
    <t>Mobile</t>
  </si>
  <si>
    <t>Smart TV</t>
  </si>
  <si>
    <t>Tablet</t>
  </si>
  <si>
    <t>Laptop</t>
  </si>
  <si>
    <t>Drama</t>
  </si>
  <si>
    <t>Action</t>
  </si>
  <si>
    <t>Comedy</t>
  </si>
  <si>
    <t>Documentary</t>
  </si>
  <si>
    <t>Sci-Fi</t>
  </si>
  <si>
    <t>Standard</t>
  </si>
  <si>
    <t>Premium</t>
  </si>
  <si>
    <t>Basic</t>
  </si>
  <si>
    <t>Churned</t>
  </si>
  <si>
    <t>Active</t>
  </si>
  <si>
    <t>Country</t>
  </si>
  <si>
    <t>Monthly_Price_USD</t>
  </si>
  <si>
    <t>Account_Status</t>
  </si>
  <si>
    <t>NF-1001</t>
  </si>
  <si>
    <t>United States</t>
  </si>
  <si>
    <t>NF-1002</t>
  </si>
  <si>
    <t>India</t>
  </si>
  <si>
    <t>NF-1003</t>
  </si>
  <si>
    <t>United Kingdom</t>
  </si>
  <si>
    <t>NF-1004</t>
  </si>
  <si>
    <t>Canada</t>
  </si>
  <si>
    <t>NF-1005</t>
  </si>
  <si>
    <t>Australia</t>
  </si>
  <si>
    <t>NF-1006</t>
  </si>
  <si>
    <t>Horror</t>
  </si>
  <si>
    <t>NF-1007</t>
  </si>
  <si>
    <t>NF-1008</t>
  </si>
  <si>
    <t>NF-1009</t>
  </si>
  <si>
    <t>NF-1010</t>
  </si>
  <si>
    <t>NF-1011</t>
  </si>
  <si>
    <t>NF-1012</t>
  </si>
  <si>
    <t>NF-1013</t>
  </si>
  <si>
    <t>NF-1014</t>
  </si>
  <si>
    <t>NF-1015</t>
  </si>
  <si>
    <t>NF-1016</t>
  </si>
  <si>
    <t>NF-1017</t>
  </si>
  <si>
    <t>NF-1018</t>
  </si>
  <si>
    <t>NF-1019</t>
  </si>
  <si>
    <t>NF-1020</t>
  </si>
  <si>
    <t>NF-1021</t>
  </si>
  <si>
    <t>NF-1022</t>
  </si>
  <si>
    <t>NF-1023</t>
  </si>
  <si>
    <t>NF-1024</t>
  </si>
  <si>
    <t>NF-1025</t>
  </si>
  <si>
    <t>NF-1026</t>
  </si>
  <si>
    <t>NF-1027</t>
  </si>
  <si>
    <t>NF-1028</t>
  </si>
  <si>
    <t>NF-1029</t>
  </si>
  <si>
    <t>NF-1030</t>
  </si>
  <si>
    <t>NF-1031</t>
  </si>
  <si>
    <t>NF-1032</t>
  </si>
  <si>
    <t>NF-1033</t>
  </si>
  <si>
    <t>NF-1034</t>
  </si>
  <si>
    <t>NF-1035</t>
  </si>
  <si>
    <t>NF-1036</t>
  </si>
  <si>
    <t>NF-1037</t>
  </si>
  <si>
    <t>NF-1038</t>
  </si>
  <si>
    <t>NF-1039</t>
  </si>
  <si>
    <t>NF-1040</t>
  </si>
  <si>
    <t>NF-1041</t>
  </si>
  <si>
    <t>NF-1042</t>
  </si>
  <si>
    <t>NF-1043</t>
  </si>
  <si>
    <t>NF-1044</t>
  </si>
  <si>
    <t>NF-1045</t>
  </si>
  <si>
    <t>NF-1046</t>
  </si>
  <si>
    <t>NF-1047</t>
  </si>
  <si>
    <t>NF-1048</t>
  </si>
  <si>
    <t>NF-1049</t>
  </si>
  <si>
    <t>NF-1050</t>
  </si>
  <si>
    <t>NF-1051</t>
  </si>
  <si>
    <t>NF-1052</t>
  </si>
  <si>
    <t>NF-1053</t>
  </si>
  <si>
    <t>NF-1054</t>
  </si>
  <si>
    <t>NF-1055</t>
  </si>
  <si>
    <t>NF-1056</t>
  </si>
  <si>
    <t>NF-1057</t>
  </si>
  <si>
    <t>NF-1058</t>
  </si>
  <si>
    <t>NF-1059</t>
  </si>
  <si>
    <t>NF-1060</t>
  </si>
  <si>
    <t>NF-1061</t>
  </si>
  <si>
    <t>NF-1062</t>
  </si>
  <si>
    <t>NF-1063</t>
  </si>
  <si>
    <t>NF-1064</t>
  </si>
  <si>
    <t>NF-1065</t>
  </si>
  <si>
    <t>NF-1066</t>
  </si>
  <si>
    <t>NF-1067</t>
  </si>
  <si>
    <t>NF-1068</t>
  </si>
  <si>
    <t>NF-1069</t>
  </si>
  <si>
    <t>NF-1070</t>
  </si>
  <si>
    <t>NF-1071</t>
  </si>
  <si>
    <t>NF-1072</t>
  </si>
  <si>
    <t>NF-1073</t>
  </si>
  <si>
    <t>NF-1074</t>
  </si>
  <si>
    <t>NF-1075</t>
  </si>
  <si>
    <t>NF-1076</t>
  </si>
  <si>
    <t>NF-1077</t>
  </si>
  <si>
    <t>NF-1078</t>
  </si>
  <si>
    <t>NF-1079</t>
  </si>
  <si>
    <t>NF-1080</t>
  </si>
  <si>
    <t>NF-1081</t>
  </si>
  <si>
    <t>NF-1082</t>
  </si>
  <si>
    <t>NF-1083</t>
  </si>
  <si>
    <t>NF-1084</t>
  </si>
  <si>
    <t>NF-1085</t>
  </si>
  <si>
    <t>NF-1086</t>
  </si>
  <si>
    <t>NF-1087</t>
  </si>
  <si>
    <t>NF-1088</t>
  </si>
  <si>
    <t>NF-1089</t>
  </si>
  <si>
    <t>NF-1090</t>
  </si>
  <si>
    <t>NF-1091</t>
  </si>
  <si>
    <t>NF-1092</t>
  </si>
  <si>
    <t>NF-1093</t>
  </si>
  <si>
    <t>NF-1094</t>
  </si>
  <si>
    <t>NF-1095</t>
  </si>
  <si>
    <t>NF-1096</t>
  </si>
  <si>
    <t>NF-1097</t>
  </si>
  <si>
    <t>NF-1098</t>
  </si>
  <si>
    <t>NF-1099</t>
  </si>
  <si>
    <t>NF-1100</t>
  </si>
  <si>
    <t>Completion_Tier</t>
  </si>
  <si>
    <t>Engagement_Level</t>
  </si>
  <si>
    <t>Revenue_Status</t>
  </si>
  <si>
    <t>Financial Metric</t>
  </si>
  <si>
    <t>Amount (USD)</t>
  </si>
  <si>
    <t>Total Lost Revenue (Churned)</t>
  </si>
  <si>
    <t>Total Active Revenue (Active)</t>
  </si>
  <si>
    <t>Number of Finishers</t>
  </si>
  <si>
    <t>Active Subscribers</t>
  </si>
  <si>
    <t>Churn Rate</t>
  </si>
  <si>
    <t>Revenue At Risk (MRR)</t>
  </si>
  <si>
    <t>Row Labels</t>
  </si>
  <si>
    <t>Grand Total</t>
  </si>
  <si>
    <t>Content Inventory Strategy (Genre vs. Finishers)</t>
  </si>
  <si>
    <t>Count of Account_Status</t>
  </si>
  <si>
    <t>Column Labels</t>
  </si>
  <si>
    <t>Regional Churn Concentration (Geographic View)</t>
  </si>
  <si>
    <t>Netflix Subscriber Intelligence Dashboard</t>
  </si>
  <si>
    <t>Avg. Active Completion Rate</t>
  </si>
  <si>
    <t>Sum of Monthly_Price_USD</t>
  </si>
  <si>
    <t>Count of User_ID</t>
  </si>
  <si>
    <t>Device Engagement vs. Churn Rate (Clustered Column Chart)</t>
  </si>
  <si>
    <t>19-28</t>
  </si>
  <si>
    <t>29-38</t>
  </si>
  <si>
    <t>39-48</t>
  </si>
  <si>
    <t>49-58</t>
  </si>
  <si>
    <t>59-68</t>
  </si>
  <si>
    <t>Subscriber Demographic Attrition</t>
  </si>
  <si>
    <t>#595959 --for chart title color</t>
  </si>
  <si>
    <t>#1F497D</t>
  </si>
  <si>
    <t>#15B583</t>
  </si>
  <si>
    <t>Finisher</t>
  </si>
  <si>
    <t>Sum of Content_Completion_Rate_Pct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</si>
</sst>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00"/>
    <numFmt numFmtId="165" formatCode="&quot;₹&quot;\ #,##0.00"/>
    <numFmt numFmtId="166" formatCode="\$\ #.00"/>
  </numFmts>
  <fonts count="10" x14ac:knownFonts="1">
    <font>
      <sz val="11"/>
      <color theme="1"/>
      <name val="Calibri"/>
      <family val="2"/>
      <scheme val="minor"/>
    </font>
    <font>
      <b/>
      <sz val="11"/>
      <color theme="1"/>
      <name val="Calibri"/>
      <family val="2"/>
      <scheme val="minor"/>
    </font>
    <font>
      <sz val="11"/>
      <color theme="1"/>
      <name val="Calibri"/>
      <family val="2"/>
      <scheme val="minor"/>
    </font>
    <font>
      <b/>
      <i/>
      <sz val="25"/>
      <color rgb="FF002060"/>
      <name val="Algerian"/>
      <family val="5"/>
    </font>
    <font>
      <b/>
      <i/>
      <sz val="25"/>
      <color theme="3" tint="-0.499984740745262"/>
      <name val="Algerian"/>
      <family val="5"/>
    </font>
    <font>
      <b/>
      <i/>
      <sz val="11"/>
      <color theme="1"/>
      <name val="Bookman Old Style"/>
      <family val="1"/>
    </font>
    <font>
      <b/>
      <i/>
      <sz val="15"/>
      <color theme="9" tint="-0.249977111117893"/>
      <name val="Bookman Old Style"/>
      <family val="1"/>
    </font>
    <font>
      <b/>
      <i/>
      <sz val="16"/>
      <color rgb="FF002060"/>
      <name val="Bookman Old Style"/>
      <family val="1"/>
    </font>
    <font>
      <b/>
      <i/>
      <sz val="15"/>
      <color rgb="FFE26B0A"/>
      <name val="Bookman Old Style"/>
      <family val="1"/>
    </font>
    <font>
      <b/>
      <i/>
      <sz val="14"/>
      <color rgb="FFE26B0A"/>
      <name val="Bookman Old Style"/>
      <family val="1"/>
    </font>
  </fonts>
  <fills count="7">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rgb="FFBFBFBF"/>
        <bgColor indexed="64"/>
      </patternFill>
    </fill>
  </fills>
  <borders count="11">
    <border>
      <left/>
      <right/>
      <top/>
      <bottom/>
      <diagonal/>
    </border>
    <border>
      <left/>
      <right/>
      <top/>
      <bottom style="thick">
        <color rgb="FF92D050"/>
      </bottom>
      <diagonal/>
    </border>
    <border>
      <left style="thick">
        <color rgb="FF92D050"/>
      </left>
      <right style="thin">
        <color indexed="64"/>
      </right>
      <top style="thick">
        <color rgb="FF92D050"/>
      </top>
      <bottom style="thick">
        <color rgb="FF92D050"/>
      </bottom>
      <diagonal/>
    </border>
    <border>
      <left style="thin">
        <color indexed="64"/>
      </left>
      <right style="thin">
        <color indexed="64"/>
      </right>
      <top style="thick">
        <color rgb="FF92D050"/>
      </top>
      <bottom style="thick">
        <color rgb="FF92D050"/>
      </bottom>
      <diagonal/>
    </border>
    <border>
      <left style="thin">
        <color indexed="64"/>
      </left>
      <right style="thick">
        <color rgb="FF92D050"/>
      </right>
      <top style="thick">
        <color rgb="FF92D050"/>
      </top>
      <bottom style="thick">
        <color rgb="FF92D050"/>
      </bottom>
      <diagonal/>
    </border>
    <border>
      <left style="thick">
        <color rgb="FF92D050"/>
      </left>
      <right/>
      <top style="thick">
        <color rgb="FF92D050"/>
      </top>
      <bottom/>
      <diagonal/>
    </border>
    <border>
      <left/>
      <right/>
      <top style="thick">
        <color rgb="FF92D050"/>
      </top>
      <bottom/>
      <diagonal/>
    </border>
    <border>
      <left/>
      <right style="thick">
        <color rgb="FF92D050"/>
      </right>
      <top style="thick">
        <color rgb="FF92D050"/>
      </top>
      <bottom/>
      <diagonal/>
    </border>
    <border>
      <left style="thick">
        <color rgb="FF92D050"/>
      </left>
      <right/>
      <top/>
      <bottom style="thick">
        <color rgb="FF92D050"/>
      </bottom>
      <diagonal/>
    </border>
    <border>
      <left/>
      <right style="thick">
        <color rgb="FF92D050"/>
      </right>
      <top/>
      <bottom style="thick">
        <color rgb="FF92D050"/>
      </bottom>
      <diagonal/>
    </border>
    <border>
      <left style="thick">
        <color rgb="FF92D050"/>
      </left>
      <right/>
      <top/>
      <bottom/>
      <diagonal/>
    </border>
  </borders>
  <cellStyleXfs count="2">
    <xf numFmtId="0" fontId="0" fillId="0" borderId="0"/>
    <xf numFmtId="9" fontId="2" fillId="0" borderId="0" applyFont="0" applyFill="0" applyBorder="0" applyAlignment="0" applyProtection="0"/>
  </cellStyleXfs>
  <cellXfs count="34">
    <xf numFmtId="0" fontId="0" fillId="0" borderId="0" xfId="0"/>
    <xf numFmtId="0" fontId="1" fillId="0" borderId="0" xfId="0" applyFont="1"/>
    <xf numFmtId="164" fontId="0" fillId="0" borderId="0" xfId="0" applyNumberFormat="1"/>
    <xf numFmtId="0" fontId="1" fillId="2" borderId="0" xfId="0" applyFont="1" applyFill="1"/>
    <xf numFmtId="0" fontId="1" fillId="3" borderId="0" xfId="0" applyFont="1" applyFill="1"/>
    <xf numFmtId="9" fontId="0" fillId="0" borderId="0" xfId="1" applyFont="1"/>
    <xf numFmtId="0" fontId="0" fillId="0" borderId="0" xfId="0" pivotButton="1"/>
    <xf numFmtId="0" fontId="0" fillId="0" borderId="0" xfId="0" applyAlignment="1">
      <alignment horizontal="left"/>
    </xf>
    <xf numFmtId="165" fontId="0" fillId="0" borderId="0" xfId="0" applyNumberFormat="1"/>
    <xf numFmtId="0" fontId="0" fillId="4" borderId="0" xfId="0" applyFill="1"/>
    <xf numFmtId="9" fontId="0" fillId="0" borderId="0" xfId="0" applyNumberFormat="1"/>
    <xf numFmtId="0" fontId="0" fillId="4" borderId="6" xfId="0" applyFill="1" applyBorder="1"/>
    <xf numFmtId="0" fontId="0" fillId="4" borderId="10" xfId="0" applyFill="1" applyBorder="1"/>
    <xf numFmtId="0" fontId="0" fillId="6" borderId="0" xfId="0" applyFill="1"/>
    <xf numFmtId="0" fontId="3"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6" fillId="2" borderId="5" xfId="0" applyFont="1" applyFill="1" applyBorder="1" applyAlignment="1">
      <alignment horizontal="center" wrapText="1"/>
    </xf>
    <xf numFmtId="0" fontId="5" fillId="2" borderId="6" xfId="0" applyFont="1" applyFill="1" applyBorder="1" applyAlignment="1">
      <alignment horizontal="center" wrapText="1"/>
    </xf>
    <xf numFmtId="0" fontId="5" fillId="2" borderId="7" xfId="0" applyFont="1" applyFill="1" applyBorder="1" applyAlignment="1">
      <alignment horizontal="center" wrapText="1"/>
    </xf>
    <xf numFmtId="0" fontId="7" fillId="2" borderId="8" xfId="0" applyFont="1" applyFill="1" applyBorder="1" applyAlignment="1">
      <alignment horizontal="center" vertical="top" wrapText="1"/>
    </xf>
    <xf numFmtId="0" fontId="7" fillId="2" borderId="1" xfId="0" applyFont="1" applyFill="1" applyBorder="1" applyAlignment="1">
      <alignment horizontal="center" vertical="top" wrapText="1"/>
    </xf>
    <xf numFmtId="0" fontId="7" fillId="2" borderId="9" xfId="0" applyFont="1" applyFill="1" applyBorder="1" applyAlignment="1">
      <alignment horizontal="center" vertical="top" wrapText="1"/>
    </xf>
    <xf numFmtId="0" fontId="8" fillId="2" borderId="5" xfId="0" applyFont="1" applyFill="1" applyBorder="1" applyAlignment="1">
      <alignment horizontal="center" wrapText="1"/>
    </xf>
    <xf numFmtId="9" fontId="7" fillId="2" borderId="8" xfId="1" applyFont="1" applyFill="1" applyBorder="1" applyAlignment="1">
      <alignment horizontal="center" vertical="top" wrapText="1"/>
    </xf>
    <xf numFmtId="9" fontId="7" fillId="2" borderId="1" xfId="1" applyFont="1" applyFill="1" applyBorder="1" applyAlignment="1">
      <alignment horizontal="center" vertical="top" wrapText="1"/>
    </xf>
    <xf numFmtId="9" fontId="7" fillId="2" borderId="9" xfId="1" applyFont="1" applyFill="1" applyBorder="1" applyAlignment="1">
      <alignment horizontal="center" vertical="top" wrapText="1"/>
    </xf>
    <xf numFmtId="166" fontId="7" fillId="2" borderId="8" xfId="0" applyNumberFormat="1" applyFont="1" applyFill="1" applyBorder="1" applyAlignment="1">
      <alignment horizontal="center" vertical="top" wrapText="1"/>
    </xf>
    <xf numFmtId="166" fontId="7" fillId="2" borderId="1" xfId="0" applyNumberFormat="1" applyFont="1" applyFill="1" applyBorder="1" applyAlignment="1">
      <alignment horizontal="center" vertical="top" wrapText="1"/>
    </xf>
    <xf numFmtId="166" fontId="7" fillId="2" borderId="9" xfId="0" applyNumberFormat="1" applyFont="1" applyFill="1" applyBorder="1" applyAlignment="1">
      <alignment horizontal="center" vertical="top" wrapText="1"/>
    </xf>
    <xf numFmtId="0" fontId="9" fillId="2" borderId="5" xfId="0" applyFont="1" applyFill="1" applyBorder="1" applyAlignment="1">
      <alignment horizontal="center" wrapText="1"/>
    </xf>
    <xf numFmtId="0" fontId="9" fillId="2" borderId="6" xfId="0" applyFont="1" applyFill="1" applyBorder="1" applyAlignment="1">
      <alignment horizontal="center" wrapText="1"/>
    </xf>
    <xf numFmtId="0" fontId="9" fillId="2" borderId="7" xfId="0" applyFont="1" applyFill="1" applyBorder="1" applyAlignment="1">
      <alignment horizontal="center" wrapText="1"/>
    </xf>
    <xf numFmtId="0" fontId="0" fillId="0" borderId="0" xfId="0" applyNumberFormat="1"/>
  </cellXfs>
  <cellStyles count="2">
    <cellStyle name="Normal" xfId="0" builtinId="0"/>
    <cellStyle name="Percent" xfId="1" builtinId="5"/>
  </cellStyles>
  <dxfs count="12">
    <dxf>
      <numFmt numFmtId="165" formatCode="&quot;₹&quot;\ #,##0.00"/>
    </dxf>
    <dxf>
      <numFmt numFmtId="164" formatCode="[$$-409]#,##0.00"/>
    </dxf>
    <dxf>
      <numFmt numFmtId="13" formatCode="0%"/>
    </dxf>
    <dxf>
      <numFmt numFmtId="165" formatCode="&quot;₹&quot;\ #,##0.00"/>
    </dxf>
    <dxf>
      <numFmt numFmtId="164" formatCode="[$$-409]#,##0.00"/>
    </dxf>
    <dxf>
      <numFmt numFmtId="13" formatCode="0%"/>
    </dxf>
    <dxf>
      <numFmt numFmtId="164" formatCode="[$$-409]#,##0.00"/>
    </dxf>
    <dxf>
      <numFmt numFmtId="165" formatCode="&quot;₹&quot;\ #,##0.00"/>
    </dxf>
    <dxf>
      <numFmt numFmtId="13" formatCode="0%"/>
    </dxf>
    <dxf>
      <font>
        <b/>
        <i val="0"/>
        <strike val="0"/>
        <condense val="0"/>
        <extend val="0"/>
        <outline val="0"/>
        <shadow val="0"/>
        <u val="none"/>
        <vertAlign val="baseline"/>
        <sz val="11"/>
        <color theme="1"/>
        <name val="Calibri"/>
        <family val="2"/>
        <scheme val="minor"/>
      </font>
    </dxf>
    <dxf>
      <fill>
        <patternFill>
          <fgColor theme="0" tint="-4.9989318521683403E-2"/>
          <bgColor theme="0" tint="-4.9989318521683403E-2"/>
        </patternFill>
      </fill>
    </dxf>
    <dxf>
      <fill>
        <patternFill patternType="solid">
          <fgColor theme="6" tint="0.39994506668294322"/>
          <bgColor theme="6" tint="-0.24994659260841701"/>
        </patternFill>
      </fill>
    </dxf>
  </dxfs>
  <tableStyles count="1" defaultTableStyle="TableStyleMedium9" defaultPivotStyle="PivotStyleLight16">
    <tableStyle name="Slicer Style 1" pivot="0" table="0" count="4" xr9:uid="{FC1ED9EA-E792-4524-973A-093C81F181D7}">
      <tableStyleElement type="wholeTable" dxfId="11"/>
      <tableStyleElement type="headerRow" dxfId="10"/>
    </tableStyle>
  </tableStyles>
  <colors>
    <mruColors>
      <color rgb="FFBFBFBF"/>
      <color rgb="FFFFFF00"/>
      <color rgb="FF376092"/>
      <color rgb="FF002060"/>
      <color rgb="FFE26B0A"/>
      <color rgb="FF1E29BC"/>
      <color rgb="FF97BE1C"/>
      <color rgb="FF10B4B4"/>
      <color rgb="FF15B583"/>
      <color rgb="FFE46C0A"/>
    </mruColors>
  </colors>
  <extLst>
    <ext xmlns:x14="http://schemas.microsoft.com/office/spreadsheetml/2009/9/main" uri="{46F421CA-312F-682f-3DD2-61675219B42D}">
      <x14:dxfs count="2">
        <dxf>
          <fill>
            <patternFill>
              <fgColor theme="5" tint="0.79998168889431442"/>
            </patternFill>
          </fill>
        </dxf>
        <dxf>
          <fill>
            <patternFill>
              <fgColor theme="9" tint="0.59996337778862885"/>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[Netflix_Subscriber_Intelligence_Dashboard.xlsx]Regional Churn Concentration (G!PivotTable2</c:name>
    <c:fmtId val="1"/>
  </c:pivotSource>
  <c:chart>
    <c:title>
      <c:tx>
        <c:rich>
          <a:bodyPr rot="0" spcFirstLastPara="1" vertOverflow="ellipsis" vert="horz" wrap="square" anchor="ctr" anchorCtr="1"/>
          <a:lstStyle/>
          <a:p>
            <a:pPr>
              <a:defRPr sz="1600" b="1" i="0" u="none" strike="noStrike" kern="1200" baseline="0">
                <a:solidFill>
                  <a:srgbClr val="595959"/>
                </a:solidFill>
                <a:latin typeface="+mn-lt"/>
                <a:ea typeface="+mn-ea"/>
                <a:cs typeface="+mn-cs"/>
              </a:defRPr>
            </a:pPr>
            <a:r>
              <a:rPr lang="en-IN">
                <a:solidFill>
                  <a:srgbClr val="1F497D"/>
                </a:solidFill>
              </a:rPr>
              <a:t>Regional Churn Concentration</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595959"/>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'Regional Churn Concentration (G'!$B$3:$B$4</c:f>
              <c:strCache>
                <c:ptCount val="1"/>
                <c:pt idx="0">
                  <c:v>Active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dPt>
          <c:dPt>
            <c:idx val="2"/>
            <c:invertIfNegative val="0"/>
            <c:bubble3D val="0"/>
          </c:dPt>
          <c:dPt>
            <c:idx val="3"/>
            <c:invertIfNegative val="0"/>
            <c:bubble3D val="0"/>
          </c:dPt>
          <c:dPt>
            <c:idx val="4"/>
            <c:invertIfNegative val="0"/>
            <c:bubble3D val="0"/>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Churn Concentration (G'!$A$5:$A$10</c:f>
              <c:strCache>
                <c:ptCount val="5"/>
                <c:pt idx="0">
                  <c:v>Australia</c:v>
                </c:pt>
                <c:pt idx="1">
                  <c:v>Canada</c:v>
                </c:pt>
                <c:pt idx="2">
                  <c:v>India</c:v>
                </c:pt>
                <c:pt idx="3">
                  <c:v>United Kingdom</c:v>
                </c:pt>
                <c:pt idx="4">
                  <c:v>United States</c:v>
                </c:pt>
              </c:strCache>
            </c:strRef>
          </c:cat>
          <c:val>
            <c:numRef>
              <c:f>'Regional Churn Concentration (G'!$B$5:$B$10</c:f>
              <c:numCache>
                <c:formatCode>0%</c:formatCode>
                <c:ptCount val="5"/>
                <c:pt idx="0">
                  <c:v>0.5</c:v>
                </c:pt>
                <c:pt idx="1">
                  <c:v>0.8</c:v>
                </c:pt>
                <c:pt idx="2">
                  <c:v>0.75</c:v>
                </c:pt>
                <c:pt idx="3">
                  <c:v>0.7</c:v>
                </c:pt>
                <c:pt idx="4">
                  <c:v>0.85</c:v>
                </c:pt>
              </c:numCache>
            </c:numRef>
          </c:val>
          <c:extLst>
            <c:ext xmlns:c16="http://schemas.microsoft.com/office/drawing/2014/chart" uri="{C3380CC4-5D6E-409C-BE32-E72D297353CC}">
              <c16:uniqueId val="{00000000-35A8-4E07-AAB6-094D97B15534}"/>
            </c:ext>
          </c:extLst>
        </c:ser>
        <c:ser>
          <c:idx val="1"/>
          <c:order val="1"/>
          <c:tx>
            <c:strRef>
              <c:f>'Regional Churn Concentration (G'!$C$3:$C$4</c:f>
              <c:strCache>
                <c:ptCount val="1"/>
                <c:pt idx="0">
                  <c:v>Churned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Churn Concentration (G'!$A$5:$A$10</c:f>
              <c:strCache>
                <c:ptCount val="5"/>
                <c:pt idx="0">
                  <c:v>Australia</c:v>
                </c:pt>
                <c:pt idx="1">
                  <c:v>Canada</c:v>
                </c:pt>
                <c:pt idx="2">
                  <c:v>India</c:v>
                </c:pt>
                <c:pt idx="3">
                  <c:v>United Kingdom</c:v>
                </c:pt>
                <c:pt idx="4">
                  <c:v>United States</c:v>
                </c:pt>
              </c:strCache>
            </c:strRef>
          </c:cat>
          <c:val>
            <c:numRef>
              <c:f>'Regional Churn Concentration (G'!$C$5:$C$10</c:f>
              <c:numCache>
                <c:formatCode>0%</c:formatCode>
                <c:ptCount val="5"/>
                <c:pt idx="0">
                  <c:v>0.5</c:v>
                </c:pt>
                <c:pt idx="1">
                  <c:v>0.2</c:v>
                </c:pt>
                <c:pt idx="2">
                  <c:v>0.25</c:v>
                </c:pt>
                <c:pt idx="3">
                  <c:v>0.3</c:v>
                </c:pt>
                <c:pt idx="4">
                  <c:v>0.15</c:v>
                </c:pt>
              </c:numCache>
            </c:numRef>
          </c:val>
          <c:extLst>
            <c:ext xmlns:c16="http://schemas.microsoft.com/office/drawing/2014/chart" uri="{C3380CC4-5D6E-409C-BE32-E72D297353CC}">
              <c16:uniqueId val="{00000000-FCC9-4217-ADE2-651FFFA465E7}"/>
            </c:ext>
          </c:extLst>
        </c:ser>
        <c:dLbls>
          <c:showLegendKey val="0"/>
          <c:showVal val="0"/>
          <c:showCatName val="0"/>
          <c:showSerName val="0"/>
          <c:showPercent val="0"/>
          <c:showBubbleSize val="0"/>
        </c:dLbls>
        <c:gapWidth val="150"/>
        <c:shape val="box"/>
        <c:axId val="1621655936"/>
        <c:axId val="1612753328"/>
        <c:axId val="0"/>
      </c:bar3DChart>
      <c:catAx>
        <c:axId val="1621655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12753328"/>
        <c:crosses val="autoZero"/>
        <c:auto val="1"/>
        <c:lblAlgn val="ctr"/>
        <c:lblOffset val="100"/>
        <c:noMultiLvlLbl val="0"/>
      </c:catAx>
      <c:valAx>
        <c:axId val="1612753328"/>
        <c:scaling>
          <c:orientation val="minMax"/>
        </c:scaling>
        <c:delete val="1"/>
        <c:axPos val="l"/>
        <c:numFmt formatCode="0%" sourceLinked="1"/>
        <c:majorTickMark val="none"/>
        <c:minorTickMark val="none"/>
        <c:tickLblPos val="nextTo"/>
        <c:crossAx val="162165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[Netflix_Subscriber_Intelligence_Dashboard.xlsx]Content Inventory Strategy (Gen!PivotTable1</c:name>
    <c:fmtId val="0"/>
  </c:pivotSource>
  <c:chart>
    <c:title>
      <c:tx>
        <c:rich>
          <a:bodyPr rot="0" spcFirstLastPara="1" vertOverflow="ellipsis" vert="horz" wrap="square" anchor="ctr" anchorCtr="1"/>
          <a:lstStyle/>
          <a:p>
            <a:pPr>
              <a:defRPr sz="1600" b="1" i="0" u="none" strike="noStrike" kern="1200" baseline="0">
                <a:solidFill>
                  <a:srgbClr val="595959"/>
                </a:solidFill>
                <a:latin typeface="+mn-lt"/>
                <a:ea typeface="+mn-ea"/>
                <a:cs typeface="+mn-cs"/>
              </a:defRPr>
            </a:pPr>
            <a:r>
              <a:rPr lang="en-IN">
                <a:solidFill>
                  <a:srgbClr val="1F497D"/>
                </a:solidFill>
              </a:rPr>
              <a:t>Content Inventory Strategy</a:t>
            </a:r>
          </a:p>
        </c:rich>
      </c:tx>
      <c:overlay val="0"/>
      <c:spPr>
        <a:noFill/>
        <a:ln>
          <a:noFill/>
        </a:ln>
        <a:effectLst/>
      </c:spPr>
      <c:txPr>
        <a:bodyPr rot="0" spcFirstLastPara="1" vertOverflow="ellipsis" vert="horz" wrap="square" anchor="ctr" anchorCtr="1"/>
        <a:lstStyle/>
        <a:p>
          <a:pPr>
            <a:defRPr sz="1600" b="1" i="0" u="none" strike="noStrike" kern="1200" baseline="0">
              <a:solidFill>
                <a:srgbClr val="595959"/>
              </a:solidFill>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rgbClr val="3B669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 Inventory Strategy (Gen'!$B$3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 Inventory Strategy (Gen'!$A$4:$A$10</c:f>
              <c:strCache>
                <c:ptCount val="6"/>
                <c:pt idx="0">
                  <c:v>Documentary</c:v>
                </c:pt>
                <c:pt idx="1">
                  <c:v>Horror</c:v>
                </c:pt>
                <c:pt idx="2">
                  <c:v>Comedy</c:v>
                </c:pt>
                <c:pt idx="3">
                  <c:v>Drama</c:v>
                </c:pt>
                <c:pt idx="4">
                  <c:v>Action</c:v>
                </c:pt>
                <c:pt idx="5">
                  <c:v>Sci-Fi</c:v>
                </c:pt>
              </c:strCache>
            </c:strRef>
          </c:cat>
          <c:val>
            <c:numRef>
              <c:f>'Content Inventory Strategy (Gen'!$B$4:$B$10</c:f>
              <c:numCache>
                <c:formatCode>General</c:formatCode>
                <c:ptCount val="6"/>
                <c:pt idx="0">
                  <c:v>0</c:v>
                </c:pt>
                <c:pt idx="1">
                  <c:v>1</c:v>
                </c:pt>
                <c:pt idx="2">
                  <c:v>4</c:v>
                </c:pt>
                <c:pt idx="3">
                  <c:v>12</c:v>
                </c:pt>
                <c:pt idx="4">
                  <c:v>16</c:v>
                </c:pt>
                <c:pt idx="5">
                  <c:v>16</c:v>
                </c:pt>
              </c:numCache>
            </c:numRef>
          </c:val>
          <c:extLst>
            <c:ext xmlns:c16="http://schemas.microsoft.com/office/drawing/2014/chart" uri="{C3380CC4-5D6E-409C-BE32-E72D297353CC}">
              <c16:uniqueId val="{00000004-D525-4ED2-BAFA-8E38FD2E1BD4}"/>
            </c:ext>
          </c:extLst>
        </c:ser>
        <c:dLbls>
          <c:dLblPos val="outEnd"/>
          <c:showLegendKey val="0"/>
          <c:showVal val="1"/>
          <c:showCatName val="0"/>
          <c:showSerName val="0"/>
          <c:showPercent val="0"/>
          <c:showBubbleSize val="0"/>
        </c:dLbls>
        <c:gapWidth val="115"/>
        <c:overlap val="-20"/>
        <c:axId val="1681633152"/>
        <c:axId val="1612749968"/>
      </c:barChart>
      <c:catAx>
        <c:axId val="16816331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b="1">
                    <a:solidFill>
                      <a:schemeClr val="tx1"/>
                    </a:solidFill>
                  </a:rPr>
                  <a:t>Primary</a:t>
                </a:r>
                <a:r>
                  <a:rPr lang="en-IN" b="1" baseline="0">
                    <a:solidFill>
                      <a:schemeClr val="tx1"/>
                    </a:solidFill>
                  </a:rPr>
                  <a:t> </a:t>
                </a:r>
                <a:r>
                  <a:rPr lang="en-IN" b="1">
                    <a:solidFill>
                      <a:schemeClr val="tx1"/>
                    </a:solidFill>
                  </a:rPr>
                  <a:t>Genre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2749968"/>
        <c:crosses val="autoZero"/>
        <c:auto val="1"/>
        <c:lblAlgn val="ctr"/>
        <c:lblOffset val="100"/>
        <c:noMultiLvlLbl val="0"/>
      </c:catAx>
      <c:valAx>
        <c:axId val="16127499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b="1">
                    <a:solidFill>
                      <a:schemeClr val="tx1"/>
                    </a:solidFill>
                  </a:rPr>
                  <a:t>Number of Users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816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[Netflix_Subscriber_Intelligence_Dashboard.xlsx]Revenue Distribution by Subscri!PivotTable3</c:name>
    <c:fmtId val="0"/>
  </c:pivotSource>
  <c:chart>
    <c:title>
      <c:tx>
        <c:rich>
          <a:bodyPr rot="0" spcFirstLastPara="1" vertOverflow="ellipsis" vert="horz" wrap="square" anchor="ctr" anchorCtr="1"/>
          <a:lstStyle/>
          <a:p>
            <a:pPr>
              <a:defRPr sz="1600" b="1" i="0" u="none" strike="noStrike" kern="1200" baseline="0">
                <a:solidFill>
                  <a:srgbClr val="595959"/>
                </a:solidFill>
                <a:latin typeface="+mn-lt"/>
                <a:ea typeface="+mn-ea"/>
                <a:cs typeface="+mn-cs"/>
              </a:defRPr>
            </a:pPr>
            <a:r>
              <a:rPr lang="en-IN">
                <a:solidFill>
                  <a:srgbClr val="1F497D"/>
                </a:solidFill>
              </a:rPr>
              <a:t>Revenue Distribution by Subscription Tier</a:t>
            </a:r>
            <a:endParaRPr lang="en-US">
              <a:solidFill>
                <a:srgbClr val="1F497D"/>
              </a:solidFill>
            </a:endParaRPr>
          </a:p>
        </c:rich>
      </c:tx>
      <c:overlay val="0"/>
      <c:spPr>
        <a:noFill/>
        <a:ln>
          <a:noFill/>
        </a:ln>
        <a:effectLst/>
      </c:spPr>
    </c:title>
    <c:autoTitleDeleted val="0"/>
    <c:pivotFmts>
      <c:pivotFmt>
        <c:idx val="0"/>
        <c:spPr>
          <a:ln>
            <a:solidFill>
              <a:srgbClr val="E14311"/>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10B4B4"/>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'Revenue Distribution by Subscri'!$B$3</c:f>
              <c:strCache>
                <c:ptCount val="1"/>
                <c:pt idx="0">
                  <c:v>Total</c:v>
                </c:pt>
              </c:strCache>
            </c:strRef>
          </c:tx>
          <c:spPr>
            <a:ln>
              <a:solidFill>
                <a:srgbClr val="E14311"/>
              </a:solidFill>
            </a:ln>
          </c:spPr>
          <c:dPt>
            <c:idx val="0"/>
            <c:bubble3D val="0"/>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4-1837-43B0-A525-25199B9A6FD9}"/>
              </c:ext>
            </c:extLst>
          </c:dPt>
          <c:dPt>
            <c:idx val="1"/>
            <c:bubble3D val="0"/>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3-1837-43B0-A525-25199B9A6FD9}"/>
              </c:ext>
            </c:extLst>
          </c:dPt>
          <c:dPt>
            <c:idx val="2"/>
            <c:bubble3D val="0"/>
            <c:spPr>
              <a:solidFill>
                <a:srgbClr val="10B4B4"/>
              </a:solidFill>
              <a:ln>
                <a:solidFill>
                  <a:srgbClr val="E1431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2-1837-43B0-A525-25199B9A6FD9}"/>
              </c:ext>
            </c:extLst>
          </c:dPt>
          <c:dLbls>
            <c:dLbl>
              <c:idx val="0"/>
              <c:dLblPos val="ct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1837-43B0-A525-25199B9A6FD9}"/>
                </c:ext>
              </c:extLst>
            </c:dLbl>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1837-43B0-A525-25199B9A6FD9}"/>
                </c:ext>
              </c:extLst>
            </c:dLbl>
            <c:dLbl>
              <c:idx val="2"/>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1837-43B0-A525-25199B9A6F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1"/>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'Revenue Distribution by Subscri'!$A$4:$A$7</c:f>
              <c:strCache>
                <c:ptCount val="3"/>
                <c:pt idx="0">
                  <c:v>Basic</c:v>
                </c:pt>
                <c:pt idx="1">
                  <c:v>Premium</c:v>
                </c:pt>
                <c:pt idx="2">
                  <c:v>Standard</c:v>
                </c:pt>
              </c:strCache>
            </c:strRef>
          </c:cat>
          <c:val>
            <c:numRef>
              <c:f>'Revenue Distribution by Subscri'!$B$4:$B$7</c:f>
              <c:numCache>
                <c:formatCode>[$$-409]#,##0.00</c:formatCode>
                <c:ptCount val="3"/>
                <c:pt idx="0">
                  <c:v>329.67000000000013</c:v>
                </c:pt>
                <c:pt idx="1">
                  <c:v>758.67000000000019</c:v>
                </c:pt>
                <c:pt idx="2">
                  <c:v>526.6600000000002</c:v>
                </c:pt>
              </c:numCache>
            </c:numRef>
          </c:val>
          <c:extLst>
            <c:ext xmlns:c16="http://schemas.microsoft.com/office/drawing/2014/chart" uri="{C3380CC4-5D6E-409C-BE32-E72D297353CC}">
              <c16:uniqueId val="{00000000-1837-43B0-A525-25199B9A6FD9}"/>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[Netflix_Subscriber_Intelligence_Dashboard.xlsx]Device Engagement vs.Churn Rate!PivotTable4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rgbClr val="1F497D"/>
                </a:solidFill>
              </a:rPr>
              <a:t>Device Preferences &amp; Churn Correlation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'Device Engagement vs.Churn Rate'!$B$3:$B$4</c:f>
              <c:strCache>
                <c:ptCount val="1"/>
                <c:pt idx="0">
                  <c:v>Active</c:v>
                </c:pt>
              </c:strCache>
            </c:strRef>
          </c:tx>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'Device Engagement vs.Churn Rate'!$A$5:$A$9</c:f>
              <c:strCache>
                <c:ptCount val="4"/>
                <c:pt idx="0">
                  <c:v>Laptop</c:v>
                </c:pt>
                <c:pt idx="1">
                  <c:v>Mobile</c:v>
                </c:pt>
                <c:pt idx="2">
                  <c:v>Smart TV</c:v>
                </c:pt>
                <c:pt idx="3">
                  <c:v>Tablet</c:v>
                </c:pt>
              </c:strCache>
            </c:strRef>
          </c:cat>
          <c:val>
            <c:numRef>
              <c:f>'Device Engagement vs.Churn Rate'!$B$5:$B$9</c:f>
              <c:numCache>
                <c:formatCode>General</c:formatCode>
                <c:ptCount val="4"/>
                <c:pt idx="0">
                  <c:v>22</c:v>
                </c:pt>
                <c:pt idx="1">
                  <c:v>12</c:v>
                </c:pt>
                <c:pt idx="2">
                  <c:v>24</c:v>
                </c:pt>
                <c:pt idx="3">
                  <c:v>14</c:v>
                </c:pt>
              </c:numCache>
            </c:numRef>
          </c:val>
          <c:extLst>
            <c:ext xmlns:c16="http://schemas.microsoft.com/office/drawing/2014/chart" uri="{C3380CC4-5D6E-409C-BE32-E72D297353CC}">
              <c16:uniqueId val="{00000000-5E0A-4FC5-94D5-0C99B6009325}"/>
            </c:ext>
          </c:extLst>
        </c:ser>
        <c:ser>
          <c:idx val="1"/>
          <c:order val="1"/>
          <c:tx>
            <c:strRef>
              <c:f>'Device Engagement vs.Churn Rate'!$C$3:$C$4</c:f>
              <c:strCache>
                <c:ptCount val="1"/>
                <c:pt idx="0">
                  <c:v>Churned</c:v>
                </c:pt>
              </c:strCache>
            </c:strRef>
          </c:tx>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'Device Engagement vs.Churn Rate'!$A$5:$A$9</c:f>
              <c:strCache>
                <c:ptCount val="4"/>
                <c:pt idx="0">
                  <c:v>Laptop</c:v>
                </c:pt>
                <c:pt idx="1">
                  <c:v>Mobile</c:v>
                </c:pt>
                <c:pt idx="2">
                  <c:v>Smart TV</c:v>
                </c:pt>
                <c:pt idx="3">
                  <c:v>Tablet</c:v>
                </c:pt>
              </c:strCache>
            </c:strRef>
          </c:cat>
          <c:val>
            <c:numRef>
              <c:f>'Device Engagement vs.Churn Rate'!$C$5:$C$9</c:f>
              <c:numCache>
                <c:formatCode>General</c:formatCode>
                <c:ptCount val="4"/>
                <c:pt idx="0">
                  <c:v>2</c:v>
                </c:pt>
                <c:pt idx="1">
                  <c:v>13</c:v>
                </c:pt>
                <c:pt idx="2">
                  <c:v>4</c:v>
                </c:pt>
                <c:pt idx="3">
                  <c:v>9</c:v>
                </c:pt>
              </c:numCache>
            </c:numRef>
          </c:val>
          <c:extLst>
            <c:ext xmlns:c16="http://schemas.microsoft.com/office/drawing/2014/chart" uri="{C3380CC4-5D6E-409C-BE32-E72D297353CC}">
              <c16:uniqueId val="{00000000-0122-455D-85F5-CEE8852F9C67}"/>
            </c:ext>
          </c:extLst>
        </c:ser>
        <c:dLbls>
          <c:dLblPos val="outEnd"/>
          <c:showLegendKey val="0"/>
          <c:showVal val="1"/>
          <c:showCatName val="0"/>
          <c:showSerName val="0"/>
          <c:showPercent val="0"/>
          <c:showBubbleSize val="0"/>
        </c:dLbls>
        <c:gapWidth val="100"/>
        <c:overlap val="-24"/>
        <c:axId val="1681611344"/>
        <c:axId val="1612834928"/>
      </c:barChart>
      <c:catAx>
        <c:axId val="1681611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12834928"/>
        <c:crosses val="autoZero"/>
        <c:auto val="1"/>
        <c:lblAlgn val="ctr"/>
        <c:lblOffset val="100"/>
        <c:noMultiLvlLbl val="0"/>
      </c:catAx>
      <c:valAx>
        <c:axId val="1612834928"/>
        <c:scaling>
          <c:orientation val="minMax"/>
        </c:scaling>
        <c:delete val="1"/>
        <c:axPos val="l"/>
        <c:numFmt formatCode="General" sourceLinked="1"/>
        <c:majorTickMark val="none"/>
        <c:minorTickMark val="none"/>
        <c:tickLblPos val="nextTo"/>
        <c:crossAx val="1681611344"/>
        <c:crosses val="autoZero"/>
        <c:crossBetween val="between"/>
      </c:valAx>
      <c:spPr>
        <a:noFill/>
        <a:ln>
          <a:noFill/>
        </a:ln>
        <a:effectLst/>
      </c:spPr>
    </c:plotArea>
    <c:legend>
      <c:legendPos val="r"/>
      <c:layout>
        <c:manualLayout>
          <c:xMode val="edge"/>
          <c:yMode val="edge"/>
          <c:x val="0.814717847769029"/>
          <c:y val="0.48791593759113444"/>
          <c:w val="0.13250437445319335"/>
          <c:h val="0.156251093613298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[Netflix_Subscriber_Intelligence_Dashboard.xlsx]Subscriber_Age!PivotTable5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Subscriber Demographic Attrition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rgbClr val="10B4B4"/>
          </a:solidFill>
          <a:ln>
            <a:solidFill>
              <a:srgbClr val="FFFF0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rgbClr val="92D05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0B4B4"/>
          </a:solidFill>
          <a:ln>
            <a:solidFill>
              <a:srgbClr val="FFFF00"/>
            </a:solidFill>
          </a:ln>
          <a:effectLst>
            <a:outerShdw blurRad="40000" dist="23000" dir="5400000" rotWithShape="0">
              <a:srgbClr val="000000">
                <a:alpha val="35000"/>
              </a:srgbClr>
            </a:outerShdw>
          </a:effectLst>
        </c:spPr>
      </c:pivotFmt>
    </c:pivotFmts>
    <c:plotArea>
      <c:layout/>
      <c:barChart>
        <c:barDir val="col"/>
        <c:grouping val="stacked"/>
        <c:varyColors val="0"/>
        <c:ser>
          <c:idx val="0"/>
          <c:order val="0"/>
          <c:tx>
            <c:strRef>
              <c:f>Subscriber_Age!$B$3:$B$4</c:f>
              <c:strCache>
                <c:ptCount val="1"/>
                <c:pt idx="0">
                  <c:v>Active</c:v>
                </c:pt>
              </c:strCache>
            </c:strRef>
          </c:tx>
          <c:spPr>
            <a:solidFill>
              <a:srgbClr val="10B4B4"/>
            </a:solidFill>
            <a:ln>
              <a:solidFill>
                <a:srgbClr val="FFFF00"/>
              </a:solid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Subscriber_Age!$A$5:$A$10</c:f>
              <c:strCache>
                <c:ptCount val="5"/>
                <c:pt idx="0">
                  <c:v>19-28</c:v>
                </c:pt>
                <c:pt idx="1">
                  <c:v>29-38</c:v>
                </c:pt>
                <c:pt idx="2">
                  <c:v>39-48</c:v>
                </c:pt>
                <c:pt idx="3">
                  <c:v>49-58</c:v>
                </c:pt>
                <c:pt idx="4">
                  <c:v>59-68</c:v>
                </c:pt>
              </c:strCache>
            </c:strRef>
          </c:cat>
          <c:val>
            <c:numRef>
              <c:f>Subscriber_Age!$B$5:$B$10</c:f>
              <c:numCache>
                <c:formatCode>General</c:formatCode>
                <c:ptCount val="5"/>
                <c:pt idx="0">
                  <c:v>20</c:v>
                </c:pt>
                <c:pt idx="1">
                  <c:v>22</c:v>
                </c:pt>
                <c:pt idx="2">
                  <c:v>16</c:v>
                </c:pt>
                <c:pt idx="3">
                  <c:v>13</c:v>
                </c:pt>
                <c:pt idx="4">
                  <c:v>1</c:v>
                </c:pt>
              </c:numCache>
            </c:numRef>
          </c:val>
          <c:extLst>
            <c:ext xmlns:c16="http://schemas.microsoft.com/office/drawing/2014/chart" uri="{C3380CC4-5D6E-409C-BE32-E72D297353CC}">
              <c16:uniqueId val="{00000000-1961-46BF-852B-D98DC2B37F7D}"/>
            </c:ext>
          </c:extLst>
        </c:ser>
        <c:ser>
          <c:idx val="1"/>
          <c:order val="1"/>
          <c:tx>
            <c:strRef>
              <c:f>Subscriber_Age!$C$3:$C$4</c:f>
              <c:strCache>
                <c:ptCount val="1"/>
                <c:pt idx="0">
                  <c:v>Churned</c:v>
                </c:pt>
              </c:strCache>
            </c:strRef>
          </c:tx>
          <c:spPr>
            <a:solidFill>
              <a:schemeClr val="accent2"/>
            </a:solidFill>
            <a:ln>
              <a:solidFill>
                <a:srgbClr val="92D050"/>
              </a:solid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Subscriber_Age!$A$5:$A$10</c:f>
              <c:strCache>
                <c:ptCount val="5"/>
                <c:pt idx="0">
                  <c:v>19-28</c:v>
                </c:pt>
                <c:pt idx="1">
                  <c:v>29-38</c:v>
                </c:pt>
                <c:pt idx="2">
                  <c:v>39-48</c:v>
                </c:pt>
                <c:pt idx="3">
                  <c:v>49-58</c:v>
                </c:pt>
                <c:pt idx="4">
                  <c:v>59-68</c:v>
                </c:pt>
              </c:strCache>
            </c:strRef>
          </c:cat>
          <c:val>
            <c:numRef>
              <c:f>Subscriber_Age!$C$5:$C$10</c:f>
              <c:numCache>
                <c:formatCode>General</c:formatCode>
                <c:ptCount val="5"/>
                <c:pt idx="0">
                  <c:v>4</c:v>
                </c:pt>
                <c:pt idx="1">
                  <c:v>9</c:v>
                </c:pt>
                <c:pt idx="2">
                  <c:v>6</c:v>
                </c:pt>
                <c:pt idx="3">
                  <c:v>6</c:v>
                </c:pt>
                <c:pt idx="4">
                  <c:v>3</c:v>
                </c:pt>
              </c:numCache>
            </c:numRef>
          </c:val>
          <c:extLst>
            <c:ext xmlns:c16="http://schemas.microsoft.com/office/drawing/2014/chart" uri="{C3380CC4-5D6E-409C-BE32-E72D297353CC}">
              <c16:uniqueId val="{00000000-0EBE-4635-9AFD-D107B1868E28}"/>
            </c:ext>
          </c:extLst>
        </c:ser>
        <c:dLbls>
          <c:dLblPos val="ctr"/>
          <c:showLegendKey val="0"/>
          <c:showVal val="1"/>
          <c:showCatName val="0"/>
          <c:showSerName val="0"/>
          <c:showPercent val="0"/>
          <c:showBubbleSize val="0"/>
        </c:dLbls>
        <c:gapWidth val="150"/>
        <c:overlap val="100"/>
        <c:axId val="1736073440"/>
        <c:axId val="1716673360"/>
      </c:barChart>
      <c:catAx>
        <c:axId val="173607344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IN" sz="1100" b="1">
                    <a:solidFill>
                      <a:schemeClr val="tx1"/>
                    </a:solidFill>
                  </a:rPr>
                  <a:t>Age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6673360"/>
        <c:crosses val="autoZero"/>
        <c:auto val="1"/>
        <c:lblAlgn val="ctr"/>
        <c:lblOffset val="100"/>
        <c:noMultiLvlLbl val="0"/>
      </c:catAx>
      <c:valAx>
        <c:axId val="171667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607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[Netflix_Subscriber_Intelligence_Dashboard.xlsx]Regional Churn Concentration (G!PivotTable2</c:name>
    <c:fmtId val="23"/>
  </c:pivotSource>
  <c:chart>
    <c:title>
      <c:tx>
        <c:rich>
          <a:bodyPr rot="0" spcFirstLastPara="1" vertOverflow="ellipsis" vert="horz" wrap="square" anchor="ctr" anchorCtr="1"/>
          <a:lstStyle/>
          <a:p>
            <a:pPr>
              <a:defRPr sz="1400" b="1" i="0" u="none" strike="noStrike" kern="1200" baseline="0">
                <a:solidFill>
                  <a:srgbClr val="595959"/>
                </a:solidFill>
                <a:latin typeface="+mn-lt"/>
                <a:ea typeface="+mn-ea"/>
                <a:cs typeface="+mn-cs"/>
              </a:defRPr>
            </a:pPr>
            <a:r>
              <a:rPr lang="en-IN" sz="1400">
                <a:solidFill>
                  <a:srgbClr val="1F497D"/>
                </a:solidFill>
              </a:rPr>
              <a:t>Regional Churn Concentration</a:t>
            </a:r>
          </a:p>
        </c:rich>
      </c:tx>
      <c:overlay val="0"/>
      <c:spPr>
        <a:noFill/>
        <a:ln>
          <a:noFill/>
        </a:ln>
        <a:effectLst/>
      </c:spPr>
      <c:txPr>
        <a:bodyPr rot="0" spcFirstLastPara="1" vertOverflow="ellipsis" vert="horz" wrap="square" anchor="ctr" anchorCtr="1"/>
        <a:lstStyle/>
        <a:p>
          <a:pPr>
            <a:defRPr sz="1400" b="1" i="0" u="none" strike="noStrike" kern="1200" baseline="0">
              <a:solidFill>
                <a:srgbClr val="595959"/>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'Regional Churn Concentration (G'!$B$3:$B$4</c:f>
              <c:strCache>
                <c:ptCount val="1"/>
                <c:pt idx="0">
                  <c:v>Active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Churn Concentration (G'!$A$5:$A$10</c:f>
              <c:strCache>
                <c:ptCount val="5"/>
                <c:pt idx="0">
                  <c:v>Australia</c:v>
                </c:pt>
                <c:pt idx="1">
                  <c:v>Canada</c:v>
                </c:pt>
                <c:pt idx="2">
                  <c:v>India</c:v>
                </c:pt>
                <c:pt idx="3">
                  <c:v>United Kingdom</c:v>
                </c:pt>
                <c:pt idx="4">
                  <c:v>United States</c:v>
                </c:pt>
              </c:strCache>
            </c:strRef>
          </c:cat>
          <c:val>
            <c:numRef>
              <c:f>'Regional Churn Concentration (G'!$B$5:$B$10</c:f>
              <c:numCache>
                <c:formatCode>0%</c:formatCode>
                <c:ptCount val="5"/>
                <c:pt idx="0">
                  <c:v>0.5</c:v>
                </c:pt>
                <c:pt idx="1">
                  <c:v>0.8</c:v>
                </c:pt>
                <c:pt idx="2">
                  <c:v>0.75</c:v>
                </c:pt>
                <c:pt idx="3">
                  <c:v>0.7</c:v>
                </c:pt>
                <c:pt idx="4">
                  <c:v>0.85</c:v>
                </c:pt>
              </c:numCache>
            </c:numRef>
          </c:val>
          <c:extLst>
            <c:ext xmlns:c16="http://schemas.microsoft.com/office/drawing/2014/chart" uri="{C3380CC4-5D6E-409C-BE32-E72D297353CC}">
              <c16:uniqueId val="{00000000-0CC9-4041-B17C-B225CE55FAC2}"/>
            </c:ext>
          </c:extLst>
        </c:ser>
        <c:ser>
          <c:idx val="1"/>
          <c:order val="1"/>
          <c:tx>
            <c:strRef>
              <c:f>'Regional Churn Concentration (G'!$C$3:$C$4</c:f>
              <c:strCache>
                <c:ptCount val="1"/>
                <c:pt idx="0">
                  <c:v>Churned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Churn Concentration (G'!$A$5:$A$10</c:f>
              <c:strCache>
                <c:ptCount val="5"/>
                <c:pt idx="0">
                  <c:v>Australia</c:v>
                </c:pt>
                <c:pt idx="1">
                  <c:v>Canada</c:v>
                </c:pt>
                <c:pt idx="2">
                  <c:v>India</c:v>
                </c:pt>
                <c:pt idx="3">
                  <c:v>United Kingdom</c:v>
                </c:pt>
                <c:pt idx="4">
                  <c:v>United States</c:v>
                </c:pt>
              </c:strCache>
            </c:strRef>
          </c:cat>
          <c:val>
            <c:numRef>
              <c:f>'Regional Churn Concentration (G'!$C$5:$C$10</c:f>
              <c:numCache>
                <c:formatCode>0%</c:formatCode>
                <c:ptCount val="5"/>
                <c:pt idx="0">
                  <c:v>0.5</c:v>
                </c:pt>
                <c:pt idx="1">
                  <c:v>0.2</c:v>
                </c:pt>
                <c:pt idx="2">
                  <c:v>0.25</c:v>
                </c:pt>
                <c:pt idx="3">
                  <c:v>0.3</c:v>
                </c:pt>
                <c:pt idx="4">
                  <c:v>0.15</c:v>
                </c:pt>
              </c:numCache>
            </c:numRef>
          </c:val>
          <c:extLst>
            <c:ext xmlns:c16="http://schemas.microsoft.com/office/drawing/2014/chart" uri="{C3380CC4-5D6E-409C-BE32-E72D297353CC}">
              <c16:uniqueId val="{00000001-0E3F-47D8-802B-CB4082900403}"/>
            </c:ext>
          </c:extLst>
        </c:ser>
        <c:dLbls>
          <c:showLegendKey val="0"/>
          <c:showVal val="0"/>
          <c:showCatName val="0"/>
          <c:showSerName val="0"/>
          <c:showPercent val="0"/>
          <c:showBubbleSize val="0"/>
        </c:dLbls>
        <c:gapWidth val="150"/>
        <c:shape val="box"/>
        <c:axId val="1621655936"/>
        <c:axId val="1612753328"/>
        <c:axId val="0"/>
      </c:bar3DChart>
      <c:catAx>
        <c:axId val="1621655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12753328"/>
        <c:crosses val="autoZero"/>
        <c:auto val="1"/>
        <c:lblAlgn val="ctr"/>
        <c:lblOffset val="100"/>
        <c:noMultiLvlLbl val="0"/>
      </c:catAx>
      <c:valAx>
        <c:axId val="1612753328"/>
        <c:scaling>
          <c:orientation val="minMax"/>
        </c:scaling>
        <c:delete val="1"/>
        <c:axPos val="l"/>
        <c:numFmt formatCode="0%" sourceLinked="1"/>
        <c:majorTickMark val="none"/>
        <c:minorTickMark val="none"/>
        <c:tickLblPos val="nextTo"/>
        <c:crossAx val="162165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[Netflix_Subscriber_Intelligence_Dashboard.xlsx]Content Inventory Strategy (Gen!PivotTable1</c:name>
    <c:fmtId val="23"/>
  </c:pivotSource>
  <c:chart>
    <c:title>
      <c:tx>
        <c:rich>
          <a:bodyPr rot="0" spcFirstLastPara="1" vertOverflow="ellipsis" vert="horz" wrap="square" anchor="ctr" anchorCtr="1"/>
          <a:lstStyle/>
          <a:p>
            <a:pPr>
              <a:defRPr sz="1400" b="1" i="0" u="none" strike="noStrike" kern="1200" baseline="0">
                <a:solidFill>
                  <a:srgbClr val="595959"/>
                </a:solidFill>
                <a:latin typeface="+mn-lt"/>
                <a:ea typeface="+mn-ea"/>
                <a:cs typeface="+mn-cs"/>
              </a:defRPr>
            </a:pPr>
            <a:r>
              <a:rPr lang="en-IN" sz="1400">
                <a:solidFill>
                  <a:srgbClr val="1F497D"/>
                </a:solidFill>
              </a:rPr>
              <a:t>Content Inventory Strategy</a:t>
            </a:r>
          </a:p>
        </c:rich>
      </c:tx>
      <c:overlay val="0"/>
      <c:spPr>
        <a:noFill/>
        <a:ln>
          <a:noFill/>
        </a:ln>
        <a:effectLst/>
      </c:spPr>
      <c:txPr>
        <a:bodyPr rot="0" spcFirstLastPara="1" vertOverflow="ellipsis" vert="horz" wrap="square" anchor="ctr" anchorCtr="1"/>
        <a:lstStyle/>
        <a:p>
          <a:pPr>
            <a:defRPr sz="1400" b="1" i="0" u="none" strike="noStrike" kern="1200" baseline="0">
              <a:solidFill>
                <a:srgbClr val="595959"/>
              </a:solidFill>
              <a:latin typeface="+mn-lt"/>
              <a:ea typeface="+mn-ea"/>
              <a:cs typeface="+mn-cs"/>
            </a:defRPr>
          </a:pPr>
          <a:endParaRPr lang="en-IN"/>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rgbClr val="3B669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rgbClr val="3B669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rgbClr val="3B669B"/>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 Inventory Strategy (Gen'!$B$3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 Inventory Strategy (Gen'!$A$4:$A$10</c:f>
              <c:strCache>
                <c:ptCount val="6"/>
                <c:pt idx="0">
                  <c:v>Documentary</c:v>
                </c:pt>
                <c:pt idx="1">
                  <c:v>Horror</c:v>
                </c:pt>
                <c:pt idx="2">
                  <c:v>Comedy</c:v>
                </c:pt>
                <c:pt idx="3">
                  <c:v>Drama</c:v>
                </c:pt>
                <c:pt idx="4">
                  <c:v>Action</c:v>
                </c:pt>
                <c:pt idx="5">
                  <c:v>Sci-Fi</c:v>
                </c:pt>
              </c:strCache>
            </c:strRef>
          </c:cat>
          <c:val>
            <c:numRef>
              <c:f>'Content Inventory Strategy (Gen'!$B$4:$B$10</c:f>
              <c:numCache>
                <c:formatCode>General</c:formatCode>
                <c:ptCount val="6"/>
                <c:pt idx="0">
                  <c:v>0</c:v>
                </c:pt>
                <c:pt idx="1">
                  <c:v>1</c:v>
                </c:pt>
                <c:pt idx="2">
                  <c:v>4</c:v>
                </c:pt>
                <c:pt idx="3">
                  <c:v>12</c:v>
                </c:pt>
                <c:pt idx="4">
                  <c:v>16</c:v>
                </c:pt>
                <c:pt idx="5">
                  <c:v>16</c:v>
                </c:pt>
              </c:numCache>
            </c:numRef>
          </c:val>
          <c:extLst>
            <c:ext xmlns:c16="http://schemas.microsoft.com/office/drawing/2014/chart" uri="{C3380CC4-5D6E-409C-BE32-E72D297353CC}">
              <c16:uniqueId val="{00000003-D737-436D-B5A4-C71635B951E7}"/>
            </c:ext>
          </c:extLst>
        </c:ser>
        <c:dLbls>
          <c:dLblPos val="outEnd"/>
          <c:showLegendKey val="0"/>
          <c:showVal val="1"/>
          <c:showCatName val="0"/>
          <c:showSerName val="0"/>
          <c:showPercent val="0"/>
          <c:showBubbleSize val="0"/>
        </c:dLbls>
        <c:gapWidth val="115"/>
        <c:overlap val="-20"/>
        <c:axId val="1681633152"/>
        <c:axId val="1612749968"/>
      </c:barChart>
      <c:catAx>
        <c:axId val="168163315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IN" b="1">
                    <a:solidFill>
                      <a:schemeClr val="tx1"/>
                    </a:solidFill>
                  </a:rPr>
                  <a:t>Primary</a:t>
                </a:r>
                <a:r>
                  <a:rPr lang="en-IN" b="1" baseline="0">
                    <a:solidFill>
                      <a:schemeClr val="tx1"/>
                    </a:solidFill>
                  </a:rPr>
                  <a:t> </a:t>
                </a:r>
                <a:r>
                  <a:rPr lang="en-IN" b="1">
                    <a:solidFill>
                      <a:schemeClr val="tx1"/>
                    </a:solidFill>
                  </a:rPr>
                  <a:t>Genre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2749968"/>
        <c:crosses val="autoZero"/>
        <c:auto val="1"/>
        <c:lblAlgn val="ctr"/>
        <c:lblOffset val="100"/>
        <c:noMultiLvlLbl val="0"/>
      </c:catAx>
      <c:valAx>
        <c:axId val="16127499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r>
                  <a:rPr lang="en-IN" b="1">
                    <a:solidFill>
                      <a:schemeClr val="tx1">
                        <a:lumMod val="95000"/>
                        <a:lumOff val="5000"/>
                      </a:schemeClr>
                    </a:solidFill>
                  </a:rPr>
                  <a:t>Number of Users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816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[Netflix_Subscriber_Intelligence_Dashboard.xlsx]Subscriber_Age!PivotTable5</c:name>
    <c:fmtId val="29"/>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IN" sz="1400"/>
              <a:t>Subscriber Demographic Attrition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solidFill>
            <a:srgbClr val="10B4B4"/>
          </a:solidFill>
          <a:ln>
            <a:solidFill>
              <a:srgbClr val="FFFF00"/>
            </a:solid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rgbClr val="92D050"/>
            </a:solid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0B4B4"/>
          </a:solidFill>
          <a:ln>
            <a:solidFill>
              <a:srgbClr val="FFFF00"/>
            </a:solidFill>
          </a:ln>
          <a:effectLst>
            <a:outerShdw blurRad="40000" dist="23000" dir="5400000" rotWithShape="0">
              <a:srgbClr val="000000">
                <a:alpha val="35000"/>
              </a:srgbClr>
            </a:outerShdw>
          </a:effectLst>
        </c:spPr>
      </c:pivotFmt>
      <c:pivotFmt>
        <c:idx val="3"/>
        <c:spPr>
          <a:solidFill>
            <a:srgbClr val="10B4B4"/>
          </a:solidFill>
          <a:ln>
            <a:solidFill>
              <a:srgbClr val="FFFF0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solidFill>
              <a:srgbClr val="92D05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0B4B4"/>
          </a:solidFill>
          <a:ln>
            <a:solidFill>
              <a:srgbClr val="FFFF0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rgbClr val="92D05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0B4B4"/>
          </a:solidFill>
          <a:ln>
            <a:solidFill>
              <a:srgbClr val="FFFF0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solidFill>
              <a:srgbClr val="92D05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0B4B4"/>
          </a:solidFill>
          <a:ln>
            <a:solidFill>
              <a:srgbClr val="FFFF0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solidFill>
              <a:srgbClr val="92D05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0B4B4"/>
          </a:solidFill>
          <a:ln>
            <a:solidFill>
              <a:srgbClr val="FFFF0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solidFill>
              <a:srgbClr val="92D05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0B4B4"/>
          </a:solidFill>
          <a:ln>
            <a:solidFill>
              <a:srgbClr val="FFFF0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solidFill>
              <a:srgbClr val="92D05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0B4B4"/>
          </a:solidFill>
          <a:ln>
            <a:solidFill>
              <a:srgbClr val="FFFF0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solidFill>
              <a:srgbClr val="FFFF00"/>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Subscriber_Age!$B$3:$B$4</c:f>
              <c:strCache>
                <c:ptCount val="1"/>
                <c:pt idx="0">
                  <c:v>Active</c:v>
                </c:pt>
              </c:strCache>
            </c:strRef>
          </c:tx>
          <c:spPr>
            <a:solidFill>
              <a:srgbClr val="10B4B4"/>
            </a:solidFill>
            <a:ln>
              <a:solidFill>
                <a:srgbClr val="FFFF00"/>
              </a:solid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Subscriber_Age!$A$5:$A$10</c:f>
              <c:strCache>
                <c:ptCount val="5"/>
                <c:pt idx="0">
                  <c:v>19-28</c:v>
                </c:pt>
                <c:pt idx="1">
                  <c:v>29-38</c:v>
                </c:pt>
                <c:pt idx="2">
                  <c:v>39-48</c:v>
                </c:pt>
                <c:pt idx="3">
                  <c:v>49-58</c:v>
                </c:pt>
                <c:pt idx="4">
                  <c:v>59-68</c:v>
                </c:pt>
              </c:strCache>
            </c:strRef>
          </c:cat>
          <c:val>
            <c:numRef>
              <c:f>Subscriber_Age!$B$5:$B$10</c:f>
              <c:numCache>
                <c:formatCode>General</c:formatCode>
                <c:ptCount val="5"/>
                <c:pt idx="0">
                  <c:v>20</c:v>
                </c:pt>
                <c:pt idx="1">
                  <c:v>22</c:v>
                </c:pt>
                <c:pt idx="2">
                  <c:v>16</c:v>
                </c:pt>
                <c:pt idx="3">
                  <c:v>13</c:v>
                </c:pt>
                <c:pt idx="4">
                  <c:v>1</c:v>
                </c:pt>
              </c:numCache>
            </c:numRef>
          </c:val>
          <c:extLst>
            <c:ext xmlns:c16="http://schemas.microsoft.com/office/drawing/2014/chart" uri="{C3380CC4-5D6E-409C-BE32-E72D297353CC}">
              <c16:uniqueId val="{00000000-0587-441A-9D01-066915F911BC}"/>
            </c:ext>
          </c:extLst>
        </c:ser>
        <c:ser>
          <c:idx val="1"/>
          <c:order val="1"/>
          <c:tx>
            <c:strRef>
              <c:f>Subscriber_Age!$C$3:$C$4</c:f>
              <c:strCache>
                <c:ptCount val="1"/>
                <c:pt idx="0">
                  <c:v>Churned</c:v>
                </c:pt>
              </c:strCache>
            </c:strRef>
          </c:tx>
          <c:spPr>
            <a:solidFill>
              <a:schemeClr val="accent2"/>
            </a:solidFill>
            <a:ln>
              <a:solidFill>
                <a:srgbClr val="FFFF00"/>
              </a:solid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Subscriber_Age!$A$5:$A$10</c:f>
              <c:strCache>
                <c:ptCount val="5"/>
                <c:pt idx="0">
                  <c:v>19-28</c:v>
                </c:pt>
                <c:pt idx="1">
                  <c:v>29-38</c:v>
                </c:pt>
                <c:pt idx="2">
                  <c:v>39-48</c:v>
                </c:pt>
                <c:pt idx="3">
                  <c:v>49-58</c:v>
                </c:pt>
                <c:pt idx="4">
                  <c:v>59-68</c:v>
                </c:pt>
              </c:strCache>
            </c:strRef>
          </c:cat>
          <c:val>
            <c:numRef>
              <c:f>Subscriber_Age!$C$5:$C$10</c:f>
              <c:numCache>
                <c:formatCode>General</c:formatCode>
                <c:ptCount val="5"/>
                <c:pt idx="0">
                  <c:v>4</c:v>
                </c:pt>
                <c:pt idx="1">
                  <c:v>9</c:v>
                </c:pt>
                <c:pt idx="2">
                  <c:v>6</c:v>
                </c:pt>
                <c:pt idx="3">
                  <c:v>6</c:v>
                </c:pt>
                <c:pt idx="4">
                  <c:v>3</c:v>
                </c:pt>
              </c:numCache>
            </c:numRef>
          </c:val>
          <c:extLst>
            <c:ext xmlns:c16="http://schemas.microsoft.com/office/drawing/2014/chart" uri="{C3380CC4-5D6E-409C-BE32-E72D297353CC}">
              <c16:uniqueId val="{00000001-EB59-4950-802D-15D3A488C083}"/>
            </c:ext>
          </c:extLst>
        </c:ser>
        <c:dLbls>
          <c:dLblPos val="ctr"/>
          <c:showLegendKey val="0"/>
          <c:showVal val="1"/>
          <c:showCatName val="0"/>
          <c:showSerName val="0"/>
          <c:showPercent val="0"/>
          <c:showBubbleSize val="0"/>
        </c:dLbls>
        <c:gapWidth val="150"/>
        <c:overlap val="100"/>
        <c:axId val="1736073440"/>
        <c:axId val="1716673360"/>
      </c:barChart>
      <c:catAx>
        <c:axId val="173607344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r>
                  <a:rPr lang="en-IN" sz="1100" b="1">
                    <a:solidFill>
                      <a:schemeClr val="tx1"/>
                    </a:solidFill>
                  </a:rPr>
                  <a:t>Age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6673360"/>
        <c:crosses val="autoZero"/>
        <c:auto val="1"/>
        <c:lblAlgn val="ctr"/>
        <c:lblOffset val="100"/>
        <c:noMultiLvlLbl val="0"/>
      </c:catAx>
      <c:valAx>
        <c:axId val="1716673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36073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[Netflix_Subscriber_Intelligence_Dashboard.xlsx]Device Engagement vs.Churn Rate!PivotTable4</c:name>
    <c:fmtId val="17"/>
  </c:pivotSource>
  <c:chart>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a:solidFill>
                  <a:srgbClr val="1F497D"/>
                </a:solidFill>
              </a:rPr>
              <a:t>Device Preferences &amp; Churn Correlation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'Device Engagement vs.Churn Rate'!$B$3:$B$4</c:f>
              <c:strCache>
                <c:ptCount val="1"/>
                <c:pt idx="0">
                  <c:v>Active</c:v>
                </c:pt>
              </c:strCache>
            </c:strRef>
          </c:tx>
          <c:spPr>
            <a:solidFill>
              <a:srgbClr val="92D050"/>
            </a:solidFill>
            <a:ln>
              <a:solidFill>
                <a:srgbClr val="376092"/>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'Device Engagement vs.Churn Rate'!$A$5:$A$9</c:f>
              <c:strCache>
                <c:ptCount val="4"/>
                <c:pt idx="0">
                  <c:v>Laptop</c:v>
                </c:pt>
                <c:pt idx="1">
                  <c:v>Mobile</c:v>
                </c:pt>
                <c:pt idx="2">
                  <c:v>Smart TV</c:v>
                </c:pt>
                <c:pt idx="3">
                  <c:v>Tablet</c:v>
                </c:pt>
              </c:strCache>
            </c:strRef>
          </c:cat>
          <c:val>
            <c:numRef>
              <c:f>'Device Engagement vs.Churn Rate'!$B$5:$B$9</c:f>
              <c:numCache>
                <c:formatCode>General</c:formatCode>
                <c:ptCount val="4"/>
                <c:pt idx="0">
                  <c:v>22</c:v>
                </c:pt>
                <c:pt idx="1">
                  <c:v>12</c:v>
                </c:pt>
                <c:pt idx="2">
                  <c:v>24</c:v>
                </c:pt>
                <c:pt idx="3">
                  <c:v>14</c:v>
                </c:pt>
              </c:numCache>
            </c:numRef>
          </c:val>
          <c:extLst>
            <c:ext xmlns:c16="http://schemas.microsoft.com/office/drawing/2014/chart" uri="{C3380CC4-5D6E-409C-BE32-E72D297353CC}">
              <c16:uniqueId val="{00000000-6D4C-42FD-A360-CA0485D6EB20}"/>
            </c:ext>
          </c:extLst>
        </c:ser>
        <c:ser>
          <c:idx val="1"/>
          <c:order val="1"/>
          <c:tx>
            <c:strRef>
              <c:f>'Device Engagement vs.Churn Rate'!$C$3:$C$4</c:f>
              <c:strCache>
                <c:ptCount val="1"/>
                <c:pt idx="0">
                  <c:v>Churned</c:v>
                </c:pt>
              </c:strCache>
            </c:strRef>
          </c:tx>
          <c:spPr>
            <a:solidFill>
              <a:schemeClr val="accent6"/>
            </a:solidFill>
            <a:ln>
              <a:solidFill>
                <a:schemeClr val="accent1">
                  <a:lumMod val="75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'Device Engagement vs.Churn Rate'!$A$5:$A$9</c:f>
              <c:strCache>
                <c:ptCount val="4"/>
                <c:pt idx="0">
                  <c:v>Laptop</c:v>
                </c:pt>
                <c:pt idx="1">
                  <c:v>Mobile</c:v>
                </c:pt>
                <c:pt idx="2">
                  <c:v>Smart TV</c:v>
                </c:pt>
                <c:pt idx="3">
                  <c:v>Tablet</c:v>
                </c:pt>
              </c:strCache>
            </c:strRef>
          </c:cat>
          <c:val>
            <c:numRef>
              <c:f>'Device Engagement vs.Churn Rate'!$C$5:$C$9</c:f>
              <c:numCache>
                <c:formatCode>General</c:formatCode>
                <c:ptCount val="4"/>
                <c:pt idx="0">
                  <c:v>2</c:v>
                </c:pt>
                <c:pt idx="1">
                  <c:v>13</c:v>
                </c:pt>
                <c:pt idx="2">
                  <c:v>4</c:v>
                </c:pt>
                <c:pt idx="3">
                  <c:v>9</c:v>
                </c:pt>
              </c:numCache>
            </c:numRef>
          </c:val>
          <c:extLst>
            <c:ext xmlns:c16="http://schemas.microsoft.com/office/drawing/2014/chart" uri="{C3380CC4-5D6E-409C-BE32-E72D297353CC}">
              <c16:uniqueId val="{00000001-070F-4CB6-8653-40A45BCCE78C}"/>
            </c:ext>
          </c:extLst>
        </c:ser>
        <c:dLbls>
          <c:dLblPos val="outEnd"/>
          <c:showLegendKey val="0"/>
          <c:showVal val="1"/>
          <c:showCatName val="0"/>
          <c:showSerName val="0"/>
          <c:showPercent val="0"/>
          <c:showBubbleSize val="0"/>
        </c:dLbls>
        <c:gapWidth val="100"/>
        <c:overlap val="-24"/>
        <c:axId val="1681611344"/>
        <c:axId val="1612834928"/>
      </c:barChart>
      <c:catAx>
        <c:axId val="16816113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612834928"/>
        <c:crosses val="autoZero"/>
        <c:auto val="1"/>
        <c:lblAlgn val="ctr"/>
        <c:lblOffset val="100"/>
        <c:noMultiLvlLbl val="0"/>
      </c:catAx>
      <c:valAx>
        <c:axId val="1612834928"/>
        <c:scaling>
          <c:orientation val="minMax"/>
        </c:scaling>
        <c:delete val="1"/>
        <c:axPos val="l"/>
        <c:numFmt formatCode="General" sourceLinked="1"/>
        <c:majorTickMark val="none"/>
        <c:minorTickMark val="none"/>
        <c:tickLblPos val="nextTo"/>
        <c:crossAx val="1681611344"/>
        <c:crosses val="autoZero"/>
        <c:crossBetween val="between"/>
      </c:valAx>
      <c:spPr>
        <a:noFill/>
        <a:ln>
          <a:noFill/>
        </a:ln>
        <a:effectLst/>
      </c:spPr>
    </c:plotArea>
    <c:legend>
      <c:legendPos val="r"/>
      <c:layout>
        <c:manualLayout>
          <c:xMode val="edge"/>
          <c:yMode val="edge"/>
          <c:x val="0.814717847769029"/>
          <c:y val="0.48791593759113444"/>
          <c:w val="0.13972341770108263"/>
          <c:h val="0.122549877343763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[Netflix_Subscriber_Intelligence_Dashboard.xlsx]Revenue Distribution by Subscri!PivotTable3</c:name>
    <c:fmtId val="39"/>
  </c:pivotSource>
  <c:chart>
    <c:title>
      <c:tx>
        <c:rich>
          <a:bodyPr rot="0" spcFirstLastPara="1" vertOverflow="ellipsis" vert="horz" wrap="square" anchor="ctr" anchorCtr="1"/>
          <a:lstStyle/>
          <a:p>
            <a:pPr>
              <a:defRPr sz="1050" b="1" i="0" u="none" strike="noStrike" kern="1200" baseline="0">
                <a:solidFill>
                  <a:srgbClr val="595959"/>
                </a:solidFill>
                <a:latin typeface="+mn-lt"/>
                <a:ea typeface="+mn-ea"/>
                <a:cs typeface="+mn-cs"/>
              </a:defRPr>
            </a:pPr>
            <a:r>
              <a:rPr lang="en-IN" sz="1050">
                <a:solidFill>
                  <a:srgbClr val="1F497D"/>
                </a:solidFill>
              </a:rPr>
              <a:t>Revenue Distribution by Subscription Tier</a:t>
            </a:r>
            <a:endParaRPr lang="en-US" sz="1050">
              <a:solidFill>
                <a:srgbClr val="1F497D"/>
              </a:solidFill>
            </a:endParaRPr>
          </a:p>
        </c:rich>
      </c:tx>
      <c:overlay val="0"/>
      <c:spPr>
        <a:noFill/>
        <a:ln>
          <a:noFill/>
        </a:ln>
        <a:effectLst/>
      </c:spPr>
      <c:txPr>
        <a:bodyPr rot="0" spcFirstLastPara="1" vertOverflow="ellipsis" vert="horz" wrap="square" anchor="ctr" anchorCtr="1"/>
        <a:lstStyle/>
        <a:p>
          <a:pPr>
            <a:defRPr sz="1050" b="1" i="0" u="none" strike="noStrike" kern="1200" baseline="0">
              <a:solidFill>
                <a:srgbClr val="595959"/>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E14311"/>
            </a:solid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10B4B4"/>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E1431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10B4B4"/>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E1431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10B4B4"/>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E1431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14"/>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10B4B4"/>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E1431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17"/>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18"/>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10B4B4"/>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E1431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1"/>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22"/>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3"/>
        <c:spPr>
          <a:solidFill>
            <a:srgbClr val="10B4B4"/>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E1431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5"/>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26"/>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7"/>
        <c:spPr>
          <a:solidFill>
            <a:srgbClr val="10B4B4"/>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rgbClr val="E14311"/>
            </a:solid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1"/>
          <c:showBubbleSize val="0"/>
          <c:separator>
</c:separator>
          <c:extLst>
            <c:ext xmlns:c15="http://schemas.microsoft.com/office/drawing/2012/chart" uri="{CE6537A1-D6FC-4f65-9D91-7224C49458BB}"/>
          </c:extLst>
        </c:dLbl>
      </c:pivotFmt>
      <c:pivotFmt>
        <c:idx val="29"/>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30"/>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1"/>
        <c:spPr>
          <a:solidFill>
            <a:srgbClr val="10B4B4"/>
          </a:solidFill>
          <a:ln>
            <a:solidFill>
              <a:srgbClr val="E14311"/>
            </a:solidFill>
          </a:ln>
          <a:effectLst>
            <a:outerShdw blurRad="40000" dist="23000" dir="5400000" rotWithShape="0">
              <a:srgbClr val="000000">
                <a:alpha val="35000"/>
              </a:srgbClr>
            </a:outerShdw>
          </a:effectLst>
        </c:spPr>
        <c:dLbl>
          <c:idx val="0"/>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pieChart>
        <c:varyColors val="1"/>
        <c:ser>
          <c:idx val="0"/>
          <c:order val="0"/>
          <c:tx>
            <c:strRef>
              <c:f>'Revenue Distribution by Subscri'!$B$3</c:f>
              <c:strCache>
                <c:ptCount val="1"/>
                <c:pt idx="0">
                  <c:v>Total</c:v>
                </c:pt>
              </c:strCache>
            </c:strRef>
          </c:tx>
          <c:spPr>
            <a:ln>
              <a:solidFill>
                <a:srgbClr val="E14311"/>
              </a:solidFill>
            </a:ln>
          </c:spPr>
          <c:dPt>
            <c:idx val="0"/>
            <c:bubble3D val="0"/>
            <c:spPr>
              <a:solidFill>
                <a:schemeClr val="accent2">
                  <a:lumMod val="60000"/>
                  <a:lumOff val="40000"/>
                </a:schemeClr>
              </a:solidFill>
              <a:ln>
                <a:solidFill>
                  <a:srgbClr val="E1431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1-2FA6-48CD-830A-7F2251231CAF}"/>
              </c:ext>
            </c:extLst>
          </c:dPt>
          <c:dPt>
            <c:idx val="1"/>
            <c:bubble3D val="0"/>
            <c:spPr>
              <a:solidFill>
                <a:schemeClr val="accent4">
                  <a:lumMod val="60000"/>
                  <a:lumOff val="40000"/>
                </a:schemeClr>
              </a:solidFill>
              <a:ln>
                <a:solidFill>
                  <a:srgbClr val="E1431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3-2FA6-48CD-830A-7F2251231CAF}"/>
              </c:ext>
            </c:extLst>
          </c:dPt>
          <c:dPt>
            <c:idx val="2"/>
            <c:bubble3D val="0"/>
            <c:spPr>
              <a:solidFill>
                <a:srgbClr val="10B4B4"/>
              </a:solidFill>
              <a:ln>
                <a:solidFill>
                  <a:srgbClr val="E14311"/>
                </a:solidFill>
              </a:ln>
              <a:effectLst>
                <a:outerShdw blurRad="40000" dist="23000" dir="5400000" rotWithShape="0">
                  <a:srgbClr val="000000">
                    <a:alpha val="35000"/>
                  </a:srgbClr>
                </a:outerShdw>
              </a:effectLst>
            </c:spPr>
            <c:extLst>
              <c:ext xmlns:c16="http://schemas.microsoft.com/office/drawing/2014/chart" uri="{C3380CC4-5D6E-409C-BE32-E72D297353CC}">
                <c16:uniqueId val="{00000005-2FA6-48CD-830A-7F2251231CAF}"/>
              </c:ext>
            </c:extLst>
          </c:dPt>
          <c:dLbls>
            <c:dLbl>
              <c:idx val="0"/>
              <c:dLblPos val="ctr"/>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2FA6-48CD-830A-7F2251231CAF}"/>
                </c:ext>
              </c:extLst>
            </c:dLbl>
            <c:dLbl>
              <c:idx val="1"/>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2FA6-48CD-830A-7F2251231CAF}"/>
                </c:ext>
              </c:extLst>
            </c:dLbl>
            <c:dLbl>
              <c:idx val="2"/>
              <c:spPr>
                <a:noFill/>
                <a:ln>
                  <a:noFill/>
                </a:ln>
                <a:effectLst/>
              </c:spPr>
              <c:txPr>
                <a:bodyPr rot="0" spcFirstLastPara="1" vertOverflow="ellipsis"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2FA6-48CD-830A-7F2251231CA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'Revenue Distribution by Subscri'!$A$4:$A$7</c:f>
              <c:strCache>
                <c:ptCount val="3"/>
                <c:pt idx="0">
                  <c:v>Basic</c:v>
                </c:pt>
                <c:pt idx="1">
                  <c:v>Premium</c:v>
                </c:pt>
                <c:pt idx="2">
                  <c:v>Standard</c:v>
                </c:pt>
              </c:strCache>
            </c:strRef>
          </c:cat>
          <c:val>
            <c:numRef>
              <c:f>'Revenue Distribution by Subscri'!$B$4:$B$7</c:f>
              <c:numCache>
                <c:formatCode>[$$-409]#,##0.00</c:formatCode>
                <c:ptCount val="3"/>
                <c:pt idx="0">
                  <c:v>329.67000000000013</c:v>
                </c:pt>
                <c:pt idx="1">
                  <c:v>758.67000000000019</c:v>
                </c:pt>
                <c:pt idx="2">
                  <c:v>526.6600000000002</c:v>
                </c:pt>
              </c:numCache>
            </c:numRef>
          </c:val>
          <c:extLst>
            <c:ext xmlns:c16="http://schemas.microsoft.com/office/drawing/2014/chart" uri="{C3380CC4-5D6E-409C-BE32-E72D297353CC}">
              <c16:uniqueId val="{00000006-2FA6-48CD-830A-7F2251231CAF}"/>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441960</xdr:colOff>
      <xdr:row>8</xdr:row>
      <xdr:rowOff>114300</xdr:rowOff>
    </xdr:from>
    <xdr:to>
      <xdr:col>12</xdr:col>
      <xdr:colOff>137160</xdr:colOff>
      <xdr:row>26</xdr:row>
      <xdr:rowOff>68580</xdr:rowOff>
    </xdr:to>
    <xdr:graphicFrame macro="">
      <xdr:nvGraphicFramePr>
        <xdr:cNvPr id="3" name="Chart 2">
          <a:extLst>
            <a:ext uri="{FF2B5EF4-FFF2-40B4-BE49-F238E27FC236}">
              <a16:creationId xmlns:a16="http://schemas.microsoft.com/office/drawing/2014/main" id="{0432135D-AA29-F7AA-B5D6-17E2B4A32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502920</xdr:colOff>
      <xdr:row>4</xdr:row>
      <xdr:rowOff>64770</xdr:rowOff>
    </xdr:from>
    <xdr:to>
      <xdr:col>10</xdr:col>
      <xdr:colOff>198120</xdr:colOff>
      <xdr:row>19</xdr:row>
      <xdr:rowOff>64770</xdr:rowOff>
    </xdr:to>
    <xdr:graphicFrame macro="">
      <xdr:nvGraphicFramePr>
        <xdr:cNvPr id="2" name="Chart 1">
          <a:extLst>
            <a:ext uri="{FF2B5EF4-FFF2-40B4-BE49-F238E27FC236}">
              <a16:creationId xmlns:a16="http://schemas.microsoft.com/office/drawing/2014/main" id="{A8A2F29F-3C4A-8401-F616-26D55DEAD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525780</xdr:colOff>
      <xdr:row>2</xdr:row>
      <xdr:rowOff>68580</xdr:rowOff>
    </xdr:from>
    <xdr:to>
      <xdr:col>11</xdr:col>
      <xdr:colOff>480060</xdr:colOff>
      <xdr:row>20</xdr:row>
      <xdr:rowOff>7620</xdr:rowOff>
    </xdr:to>
    <xdr:graphicFrame macro="">
      <xdr:nvGraphicFramePr>
        <xdr:cNvPr id="2" name="Chart 1">
          <a:extLst>
            <a:ext uri="{FF2B5EF4-FFF2-40B4-BE49-F238E27FC236}">
              <a16:creationId xmlns:a16="http://schemas.microsoft.com/office/drawing/2014/main" id="{B1A8634C-B5EA-1EDC-EE4C-D8CC8B609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190500</xdr:colOff>
      <xdr:row>5</xdr:row>
      <xdr:rowOff>19050</xdr:rowOff>
    </xdr:from>
    <xdr:to>
      <xdr:col>12</xdr:col>
      <xdr:colOff>495300</xdr:colOff>
      <xdr:row>20</xdr:row>
      <xdr:rowOff>19050</xdr:rowOff>
    </xdr:to>
    <xdr:graphicFrame macro="">
      <xdr:nvGraphicFramePr>
        <xdr:cNvPr id="2" name="Chart 1">
          <a:extLst>
            <a:ext uri="{FF2B5EF4-FFF2-40B4-BE49-F238E27FC236}">
              <a16:creationId xmlns:a16="http://schemas.microsoft.com/office/drawing/2014/main" id="{FA6CA709-6066-6448-9938-9FE249DE9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114300</xdr:colOff>
      <xdr:row>8</xdr:row>
      <xdr:rowOff>80010</xdr:rowOff>
    </xdr:from>
    <xdr:to>
      <xdr:col>12</xdr:col>
      <xdr:colOff>419100</xdr:colOff>
      <xdr:row>23</xdr:row>
      <xdr:rowOff>80010</xdr:rowOff>
    </xdr:to>
    <xdr:graphicFrame macro="">
      <xdr:nvGraphicFramePr>
        <xdr:cNvPr id="2" name="Chart 1">
          <a:extLst>
            <a:ext uri="{FF2B5EF4-FFF2-40B4-BE49-F238E27FC236}">
              <a16:creationId xmlns:a16="http://schemas.microsoft.com/office/drawing/2014/main" id="{8D1A8737-8E84-C418-18E3-E654655A0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1344</xdr:colOff>
      <xdr:row>6</xdr:row>
      <xdr:rowOff>116540</xdr:rowOff>
    </xdr:from>
    <xdr:to>
      <xdr:col>9</xdr:col>
      <xdr:colOff>586740</xdr:colOff>
      <xdr:row>24</xdr:row>
      <xdr:rowOff>135366</xdr:rowOff>
    </xdr:to>
    <xdr:graphicFrame macro="">
      <xdr:nvGraphicFramePr>
        <xdr:cNvPr id="12" name="Chart 11">
          <a:extLst>
            <a:ext uri="{FF2B5EF4-FFF2-40B4-BE49-F238E27FC236}">
              <a16:creationId xmlns:a16="http://schemas.microsoft.com/office/drawing/2014/main" id="{06013EF1-E906-46BE-8451-30CF5C45A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144780</xdr:colOff>
      <xdr:row>6</xdr:row>
      <xdr:rowOff>121920</xdr:rowOff>
    </xdr:from>
    <xdr:to>
      <xdr:col>20</xdr:col>
      <xdr:colOff>7620</xdr:colOff>
      <xdr:row>23</xdr:row>
      <xdr:rowOff>76200</xdr:rowOff>
    </xdr:to>
    <xdr:graphicFrame macro="">
      <xdr:nvGraphicFramePr>
        <xdr:cNvPr id="13" name="Chart 12">
          <a:extLst>
            <a:ext uri="{FF2B5EF4-FFF2-40B4-BE49-F238E27FC236}">
              <a16:creationId xmlns:a16="http://schemas.microsoft.com/office/drawing/2014/main" id="{CB1C8A6E-E349-4F9F-B85C-C439D189F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25</xdr:row>
      <xdr:rowOff>121920</xdr:rowOff>
    </xdr:from>
    <xdr:to>
      <xdr:col>8</xdr:col>
      <xdr:colOff>7620</xdr:colOff>
      <xdr:row>43</xdr:row>
      <xdr:rowOff>121920</xdr:rowOff>
    </xdr:to>
    <xdr:graphicFrame macro="">
      <xdr:nvGraphicFramePr>
        <xdr:cNvPr id="23" name="Chart 22">
          <a:extLst>
            <a:ext uri="{FF2B5EF4-FFF2-40B4-BE49-F238E27FC236}">
              <a16:creationId xmlns:a16="http://schemas.microsoft.com/office/drawing/2014/main" id="{6C5986F4-8DE9-4C33-BA9D-A1941FD11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228600</xdr:colOff>
      <xdr:row>24</xdr:row>
      <xdr:rowOff>91440</xdr:rowOff>
    </xdr:from>
    <xdr:to>
      <xdr:col>20</xdr:col>
      <xdr:colOff>0</xdr:colOff>
      <xdr:row>43</xdr:row>
      <xdr:rowOff>114300</xdr:rowOff>
    </xdr:to>
    <xdr:graphicFrame macro="">
      <xdr:nvGraphicFramePr>
        <xdr:cNvPr id="24" name="Chart 23">
          <a:extLst>
            <a:ext uri="{FF2B5EF4-FFF2-40B4-BE49-F238E27FC236}">
              <a16:creationId xmlns:a16="http://schemas.microsoft.com/office/drawing/2014/main" id="{A3F68862-05CD-4DCD-BC84-F58B947F0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137160</xdr:colOff>
      <xdr:row>25</xdr:row>
      <xdr:rowOff>144780</xdr:rowOff>
    </xdr:from>
    <xdr:to>
      <xdr:col>13</xdr:col>
      <xdr:colOff>99060</xdr:colOff>
      <xdr:row>43</xdr:row>
      <xdr:rowOff>121920</xdr:rowOff>
    </xdr:to>
    <xdr:graphicFrame macro="">
      <xdr:nvGraphicFramePr>
        <xdr:cNvPr id="25" name="Chart 24">
          <a:extLst>
            <a:ext uri="{FF2B5EF4-FFF2-40B4-BE49-F238E27FC236}">
              <a16:creationId xmlns:a16="http://schemas.microsoft.com/office/drawing/2014/main" id="{ACCFC84F-CAB3-4CC4-8BF2-4096B5267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190500</xdr:colOff>
      <xdr:row>6</xdr:row>
      <xdr:rowOff>114301</xdr:rowOff>
    </xdr:from>
    <xdr:to>
      <xdr:col>23</xdr:col>
      <xdr:colOff>281940</xdr:colOff>
      <xdr:row>15</xdr:row>
      <xdr:rowOff>152401</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20735A37-406E-3A8A-5360-69DB6A2F92B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268200" y="1851661"/>
              <a:ext cx="173736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17</xdr:row>
      <xdr:rowOff>15241</xdr:rowOff>
    </xdr:from>
    <xdr:to>
      <xdr:col>23</xdr:col>
      <xdr:colOff>281940</xdr:colOff>
      <xdr:row>23</xdr:row>
      <xdr:rowOff>99060</xdr:rowOff>
    </xdr:to>
    <mc:AlternateContent xmlns:mc="http://schemas.openxmlformats.org/markup-compatibility/2006" xmlns:a14="http://schemas.microsoft.com/office/drawing/2010/main">
      <mc:Choice Requires="a14">
        <xdr:graphicFrame macro="">
          <xdr:nvGraphicFramePr>
            <xdr:cNvPr id="30" name="Subscription_Tier">
              <a:extLst>
                <a:ext uri="{FF2B5EF4-FFF2-40B4-BE49-F238E27FC236}">
                  <a16:creationId xmlns:a16="http://schemas.microsoft.com/office/drawing/2014/main" id="{003B7CD1-BA3F-8B7E-74F5-6CFFC1E764A1}"/>
                </a:ext>
              </a:extLst>
            </xdr:cNvPr>
            <xdr:cNvGraphicFramePr/>
          </xdr:nvGraphicFramePr>
          <xdr:xfrm>
            <a:off x="0" y="0"/>
            <a:ext cx="0" cy="0"/>
          </xdr:xfrm>
          <a:graphic>
            <a:graphicData uri="http://schemas.microsoft.com/office/drawing/2010/slicer">
              <sle:slicer xmlns:sle="http://schemas.microsoft.com/office/drawing/2010/slicer" name="Subscription_Tier"/>
            </a:graphicData>
          </a:graphic>
        </xdr:graphicFrame>
      </mc:Choice>
      <mc:Fallback xmlns="">
        <xdr:sp macro="" textlink="">
          <xdr:nvSpPr>
            <xdr:cNvPr id="0" name=""/>
            <xdr:cNvSpPr>
              <a:spLocks noTextEdit="1"/>
            </xdr:cNvSpPr>
          </xdr:nvSpPr>
          <xdr:spPr>
            <a:xfrm>
              <a:off x="12268200" y="3764281"/>
              <a:ext cx="173736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198120</xdr:colOff>
      <xdr:row>24</xdr:row>
      <xdr:rowOff>160021</xdr:rowOff>
    </xdr:from>
    <xdr:to>
      <xdr:col>23</xdr:col>
      <xdr:colOff>289560</xdr:colOff>
      <xdr:row>29</xdr:row>
      <xdr:rowOff>137160</xdr:rowOff>
    </xdr:to>
    <mc:AlternateContent xmlns:mc="http://schemas.openxmlformats.org/markup-compatibility/2006" xmlns:a14="http://schemas.microsoft.com/office/drawing/2010/main">
      <mc:Choice Requires="a14">
        <xdr:graphicFrame macro="">
          <xdr:nvGraphicFramePr>
            <xdr:cNvPr id="32" name="Account_Status">
              <a:extLst>
                <a:ext uri="{FF2B5EF4-FFF2-40B4-BE49-F238E27FC236}">
                  <a16:creationId xmlns:a16="http://schemas.microsoft.com/office/drawing/2014/main" id="{8F89C8B5-12C5-C830-DAE5-D3E3B7348517}"/>
                </a:ext>
              </a:extLst>
            </xdr:cNvPr>
            <xdr:cNvGraphicFramePr/>
          </xdr:nvGraphicFramePr>
          <xdr:xfrm>
            <a:off x="0" y="0"/>
            <a:ext cx="0" cy="0"/>
          </xdr:xfrm>
          <a:graphic>
            <a:graphicData uri="http://schemas.microsoft.com/office/drawing/2010/slicer">
              <sle:slicer xmlns:sle="http://schemas.microsoft.com/office/drawing/2010/slicer" name="Account_Status"/>
            </a:graphicData>
          </a:graphic>
        </xdr:graphicFrame>
      </mc:Choice>
      <mc:Fallback xmlns="">
        <xdr:sp macro="" textlink="">
          <xdr:nvSpPr>
            <xdr:cNvPr id="0" name=""/>
            <xdr:cNvSpPr>
              <a:spLocks noTextEdit="1"/>
            </xdr:cNvSpPr>
          </xdr:nvSpPr>
          <xdr:spPr>
            <a:xfrm>
              <a:off x="12275820" y="5189221"/>
              <a:ext cx="173736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hi" refreshedDate="46298.802333449072" createdVersion="8" refreshedVersion="8" minRefreshableVersion="3" recordCount="100" xr:uid="{B3F1EBE4-9FED-4ECC-9E94-5072C9532B60}">
  <cacheSource type="worksheet">
    <worksheetSource name="Table1"/>
  </cacheSource>
  <cacheFields count="14">
    <cacheField name="User_ID" numFmtId="0">
      <sharedItems count="100">
        <s v="NF-1001"/>
        <s v="NF-1002"/>
        <s v="NF-1003"/>
        <s v="NF-1004"/>
        <s v="NF-1005"/>
        <s v="NF-1006"/>
        <s v="NF-1007"/>
        <s v="NF-1008"/>
        <s v="NF-1009"/>
        <s v="NF-1010"/>
        <s v="NF-1011"/>
        <s v="NF-1012"/>
        <s v="NF-1013"/>
        <s v="NF-1014"/>
        <s v="NF-1015"/>
        <s v="NF-1016"/>
        <s v="NF-1017"/>
        <s v="NF-1018"/>
        <s v="NF-1019"/>
        <s v="NF-1020"/>
        <s v="NF-1021"/>
        <s v="NF-1022"/>
        <s v="NF-1023"/>
        <s v="NF-1024"/>
        <s v="NF-1025"/>
        <s v="NF-1026"/>
        <s v="NF-1027"/>
        <s v="NF-1028"/>
        <s v="NF-1029"/>
        <s v="NF-1030"/>
        <s v="NF-1031"/>
        <s v="NF-1032"/>
        <s v="NF-1033"/>
        <s v="NF-1034"/>
        <s v="NF-1035"/>
        <s v="NF-1036"/>
        <s v="NF-1037"/>
        <s v="NF-1038"/>
        <s v="NF-1039"/>
        <s v="NF-1040"/>
        <s v="NF-1041"/>
        <s v="NF-1042"/>
        <s v="NF-1043"/>
        <s v="NF-1044"/>
        <s v="NF-1045"/>
        <s v="NF-1046"/>
        <s v="NF-1047"/>
        <s v="NF-1048"/>
        <s v="NF-1049"/>
        <s v="NF-1050"/>
        <s v="NF-1051"/>
        <s v="NF-1052"/>
        <s v="NF-1053"/>
        <s v="NF-1054"/>
        <s v="NF-1055"/>
        <s v="NF-1056"/>
        <s v="NF-1057"/>
        <s v="NF-1058"/>
        <s v="NF-1059"/>
        <s v="NF-1060"/>
        <s v="NF-1061"/>
        <s v="NF-1062"/>
        <s v="NF-1063"/>
        <s v="NF-1064"/>
        <s v="NF-1065"/>
        <s v="NF-1066"/>
        <s v="NF-1067"/>
        <s v="NF-1068"/>
        <s v="NF-1069"/>
        <s v="NF-1070"/>
        <s v="NF-1071"/>
        <s v="NF-1072"/>
        <s v="NF-1073"/>
        <s v="NF-1074"/>
        <s v="NF-1075"/>
        <s v="NF-1076"/>
        <s v="NF-1077"/>
        <s v="NF-1078"/>
        <s v="NF-1079"/>
        <s v="NF-1080"/>
        <s v="NF-1081"/>
        <s v="NF-1082"/>
        <s v="NF-1083"/>
        <s v="NF-1084"/>
        <s v="NF-1085"/>
        <s v="NF-1086"/>
        <s v="NF-1087"/>
        <s v="NF-1088"/>
        <s v="NF-1089"/>
        <s v="NF-1090"/>
        <s v="NF-1091"/>
        <s v="NF-1092"/>
        <s v="NF-1093"/>
        <s v="NF-1094"/>
        <s v="NF-1095"/>
        <s v="NF-1096"/>
        <s v="NF-1097"/>
        <s v="NF-1098"/>
        <s v="NF-1099"/>
        <s v="NF-1100"/>
      </sharedItems>
    </cacheField>
    <cacheField name="Age" numFmtId="0">
      <sharedItems containsSemiMixedTypes="0" containsString="0" containsNumber="1" containsInteger="1" minValue="19" maxValue="62" count="44">
        <n v="28"/>
        <n v="42"/>
        <n v="35"/>
        <n v="19"/>
        <n v="51"/>
        <n v="24"/>
        <n v="31"/>
        <n v="45"/>
        <n v="29"/>
        <n v="38"/>
        <n v="22"/>
        <n v="47"/>
        <n v="33"/>
        <n v="60"/>
        <n v="26"/>
        <n v="41"/>
        <n v="30"/>
        <n v="55"/>
        <n v="23"/>
        <n v="36"/>
        <n v="34"/>
        <n v="50"/>
        <n v="27"/>
        <n v="43"/>
        <n v="32"/>
        <n v="21"/>
        <n v="58"/>
        <n v="39"/>
        <n v="25"/>
        <n v="48"/>
        <n v="37"/>
        <n v="53"/>
        <n v="44"/>
        <n v="20"/>
        <n v="56"/>
        <n v="49"/>
        <n v="46"/>
        <n v="62"/>
        <n v="40"/>
        <n v="54"/>
        <n v="59"/>
        <n v="52"/>
        <n v="61"/>
        <n v="57"/>
      </sharedItems>
      <fieldGroup base="1">
        <rangePr startNum="19" endNum="62" groupInterval="10"/>
        <groupItems count="7">
          <s v="&lt;19"/>
          <s v="19-28"/>
          <s v="29-38"/>
          <s v="39-48"/>
          <s v="49-58"/>
          <s v="59-68"/>
          <s v="&gt;69"/>
        </groupItems>
      </fieldGroup>
    </cacheField>
    <cacheField name="Gender" numFmtId="0">
      <sharedItems/>
    </cacheField>
    <cacheField name="Country" numFmtId="0">
      <sharedItems count="5">
        <s v="United States"/>
        <s v="India"/>
        <s v="United Kingdom"/>
        <s v="Canada"/>
        <s v="Australia"/>
      </sharedItems>
    </cacheField>
    <cacheField name="Subscription_Tier" numFmtId="0">
      <sharedItems count="3">
        <s v="Standard"/>
        <s v="Basic"/>
        <s v="Premium"/>
      </sharedItems>
    </cacheField>
    <cacheField name="Monthly_Price_USD" numFmtId="0">
      <sharedItems containsSemiMixedTypes="0" containsString="0" containsNumber="1" minValue="9.99" maxValue="22.99"/>
    </cacheField>
    <cacheField name="Primary_Genre" numFmtId="0">
      <sharedItems count="6">
        <s v="Sci-Fi"/>
        <s v="Drama"/>
        <s v="Comedy"/>
        <s v="Action"/>
        <s v="Documentary"/>
        <s v="Horror"/>
      </sharedItems>
    </cacheField>
    <cacheField name="Device_Type" numFmtId="0">
      <sharedItems count="4">
        <s v="Smart TV"/>
        <s v="Mobile"/>
        <s v="Laptop"/>
        <s v="Tablet"/>
      </sharedItems>
    </cacheField>
    <cacheField name="Monthly_Watch_Hours" numFmtId="0">
      <sharedItems containsSemiMixedTypes="0" containsString="0" containsNumber="1" containsInteger="1" minValue="4" maxValue="73"/>
    </cacheField>
    <cacheField name="Content_Completion_Rate_Pct" numFmtId="0">
      <sharedItems containsSemiMixedTypes="0" containsString="0" containsNumber="1" containsInteger="1" minValue="9" maxValue="95"/>
    </cacheField>
    <cacheField name="Account_Status" numFmtId="0">
      <sharedItems count="2">
        <s v="Active"/>
        <s v="Churned"/>
      </sharedItems>
    </cacheField>
    <cacheField name="Engagement_Level" numFmtId="0">
      <sharedItems/>
    </cacheField>
    <cacheField name="Completion_Tier" numFmtId="0">
      <sharedItems count="3">
        <s v="Finisher"/>
        <s v="Casual Watcher"/>
        <s v="Skipper"/>
      </sharedItems>
    </cacheField>
    <cacheField name="Revenue_Status" numFmtId="0">
      <sharedItems/>
    </cacheField>
  </cacheFields>
  <extLst>
    <ext xmlns:x14="http://schemas.microsoft.com/office/spreadsheetml/2009/9/main" uri="{725AE2AE-9491-48be-B2B4-4EB974FC3084}">
      <x14:pivotCacheDefinition pivotCacheId="612824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Female"/>
    <x v="0"/>
    <x v="0"/>
    <n v="15.49"/>
    <x v="0"/>
    <x v="0"/>
    <n v="45"/>
    <n v="78"/>
    <x v="0"/>
    <s v="Healthy Binger"/>
    <x v="0"/>
    <s v="Active Revenue"/>
  </r>
  <r>
    <x v="1"/>
    <x v="1"/>
    <s v="Male"/>
    <x v="1"/>
    <x v="1"/>
    <n v="9.99"/>
    <x v="1"/>
    <x v="1"/>
    <n v="12"/>
    <n v="31"/>
    <x v="1"/>
    <s v="Critical Danger"/>
    <x v="1"/>
    <s v="Lost Revenue"/>
  </r>
  <r>
    <x v="2"/>
    <x v="2"/>
    <s v="Female"/>
    <x v="2"/>
    <x v="2"/>
    <n v="22.99"/>
    <x v="2"/>
    <x v="2"/>
    <n v="62"/>
    <n v="89"/>
    <x v="0"/>
    <s v="Healthy Binger"/>
    <x v="0"/>
    <s v="Active Revenue"/>
  </r>
  <r>
    <x v="3"/>
    <x v="3"/>
    <s v="Male"/>
    <x v="3"/>
    <x v="1"/>
    <n v="9.99"/>
    <x v="3"/>
    <x v="3"/>
    <n v="8"/>
    <n v="15"/>
    <x v="1"/>
    <s v="Critical Danger"/>
    <x v="2"/>
    <s v="Lost Revenue"/>
  </r>
  <r>
    <x v="4"/>
    <x v="4"/>
    <s v="Female"/>
    <x v="4"/>
    <x v="0"/>
    <n v="15.49"/>
    <x v="4"/>
    <x v="0"/>
    <n v="31"/>
    <n v="65"/>
    <x v="0"/>
    <s v="Low Engagement"/>
    <x v="1"/>
    <s v="Active Revenue"/>
  </r>
  <r>
    <x v="5"/>
    <x v="5"/>
    <s v="Male"/>
    <x v="0"/>
    <x v="2"/>
    <n v="22.99"/>
    <x v="5"/>
    <x v="0"/>
    <n v="55"/>
    <n v="82"/>
    <x v="0"/>
    <s v="Healthy Binger"/>
    <x v="0"/>
    <s v="Active Revenue"/>
  </r>
  <r>
    <x v="6"/>
    <x v="6"/>
    <s v="Female"/>
    <x v="1"/>
    <x v="0"/>
    <n v="15.49"/>
    <x v="1"/>
    <x v="1"/>
    <n v="18"/>
    <n v="40"/>
    <x v="1"/>
    <s v="Critical Danger"/>
    <x v="1"/>
    <s v="Lost Revenue"/>
  </r>
  <r>
    <x v="7"/>
    <x v="7"/>
    <s v="Male"/>
    <x v="2"/>
    <x v="1"/>
    <n v="9.99"/>
    <x v="0"/>
    <x v="2"/>
    <n v="22"/>
    <n v="50"/>
    <x v="0"/>
    <s v="Low Engagement"/>
    <x v="1"/>
    <s v="Active Revenue"/>
  </r>
  <r>
    <x v="8"/>
    <x v="8"/>
    <s v="Female"/>
    <x v="3"/>
    <x v="2"/>
    <n v="22.99"/>
    <x v="3"/>
    <x v="0"/>
    <n v="48"/>
    <n v="75"/>
    <x v="0"/>
    <s v="Healthy Binger"/>
    <x v="0"/>
    <s v="Active Revenue"/>
  </r>
  <r>
    <x v="9"/>
    <x v="9"/>
    <s v="Male"/>
    <x v="4"/>
    <x v="0"/>
    <n v="15.49"/>
    <x v="2"/>
    <x v="3"/>
    <n v="14"/>
    <n v="28"/>
    <x v="1"/>
    <s v="Critical Danger"/>
    <x v="2"/>
    <s v="Lost Revenue"/>
  </r>
  <r>
    <x v="10"/>
    <x v="10"/>
    <s v="Female"/>
    <x v="0"/>
    <x v="1"/>
    <n v="9.99"/>
    <x v="5"/>
    <x v="1"/>
    <n v="25"/>
    <n v="60"/>
    <x v="0"/>
    <s v="Low Engagement"/>
    <x v="1"/>
    <s v="Active Revenue"/>
  </r>
  <r>
    <x v="11"/>
    <x v="11"/>
    <s v="Male"/>
    <x v="1"/>
    <x v="2"/>
    <n v="22.99"/>
    <x v="0"/>
    <x v="0"/>
    <n v="70"/>
    <n v="91"/>
    <x v="0"/>
    <s v="Healthy Binger"/>
    <x v="0"/>
    <s v="Active Revenue"/>
  </r>
  <r>
    <x v="12"/>
    <x v="12"/>
    <s v="Female"/>
    <x v="2"/>
    <x v="0"/>
    <n v="15.49"/>
    <x v="1"/>
    <x v="2"/>
    <n v="40"/>
    <n v="71"/>
    <x v="0"/>
    <s v="Healthy Binger"/>
    <x v="0"/>
    <s v="Active Revenue"/>
  </r>
  <r>
    <x v="13"/>
    <x v="13"/>
    <s v="Male"/>
    <x v="3"/>
    <x v="1"/>
    <n v="9.99"/>
    <x v="4"/>
    <x v="3"/>
    <n v="5"/>
    <n v="10"/>
    <x v="1"/>
    <s v="Critical Danger"/>
    <x v="2"/>
    <s v="Lost Revenue"/>
  </r>
  <r>
    <x v="14"/>
    <x v="14"/>
    <s v="Female"/>
    <x v="4"/>
    <x v="2"/>
    <n v="22.99"/>
    <x v="3"/>
    <x v="0"/>
    <n v="52"/>
    <n v="85"/>
    <x v="0"/>
    <s v="Healthy Binger"/>
    <x v="0"/>
    <s v="Active Revenue"/>
  </r>
  <r>
    <x v="15"/>
    <x v="15"/>
    <s v="Male"/>
    <x v="0"/>
    <x v="0"/>
    <n v="15.49"/>
    <x v="2"/>
    <x v="1"/>
    <n v="16"/>
    <n v="33"/>
    <x v="1"/>
    <s v="Critical Danger"/>
    <x v="1"/>
    <s v="Lost Revenue"/>
  </r>
  <r>
    <x v="16"/>
    <x v="16"/>
    <s v="Female"/>
    <x v="1"/>
    <x v="1"/>
    <n v="9.99"/>
    <x v="5"/>
    <x v="2"/>
    <n v="20"/>
    <n v="48"/>
    <x v="0"/>
    <s v="Low Engagement"/>
    <x v="1"/>
    <s v="Active Revenue"/>
  </r>
  <r>
    <x v="17"/>
    <x v="17"/>
    <s v="Male"/>
    <x v="2"/>
    <x v="2"/>
    <n v="22.99"/>
    <x v="0"/>
    <x v="0"/>
    <n v="65"/>
    <n v="88"/>
    <x v="0"/>
    <s v="Healthy Binger"/>
    <x v="0"/>
    <s v="Active Revenue"/>
  </r>
  <r>
    <x v="18"/>
    <x v="18"/>
    <s v="Female"/>
    <x v="3"/>
    <x v="0"/>
    <n v="15.49"/>
    <x v="1"/>
    <x v="3"/>
    <n v="38"/>
    <n v="69"/>
    <x v="0"/>
    <s v="Low Engagement"/>
    <x v="1"/>
    <s v="Active Revenue"/>
  </r>
  <r>
    <x v="19"/>
    <x v="19"/>
    <s v="Male"/>
    <x v="4"/>
    <x v="1"/>
    <n v="9.99"/>
    <x v="4"/>
    <x v="1"/>
    <n v="9"/>
    <n v="18"/>
    <x v="1"/>
    <s v="Critical Danger"/>
    <x v="2"/>
    <s v="Lost Revenue"/>
  </r>
  <r>
    <x v="20"/>
    <x v="20"/>
    <s v="Female"/>
    <x v="0"/>
    <x v="2"/>
    <n v="22.99"/>
    <x v="3"/>
    <x v="0"/>
    <n v="58"/>
    <n v="84"/>
    <x v="0"/>
    <s v="Healthy Binger"/>
    <x v="0"/>
    <s v="Active Revenue"/>
  </r>
  <r>
    <x v="21"/>
    <x v="21"/>
    <s v="Male"/>
    <x v="1"/>
    <x v="0"/>
    <n v="15.49"/>
    <x v="2"/>
    <x v="2"/>
    <n v="42"/>
    <n v="70"/>
    <x v="0"/>
    <s v="Healthy Binger"/>
    <x v="0"/>
    <s v="Active Revenue"/>
  </r>
  <r>
    <x v="22"/>
    <x v="22"/>
    <s v="Female"/>
    <x v="2"/>
    <x v="1"/>
    <n v="9.99"/>
    <x v="5"/>
    <x v="1"/>
    <n v="11"/>
    <n v="25"/>
    <x v="1"/>
    <s v="Critical Danger"/>
    <x v="2"/>
    <s v="Lost Revenue"/>
  </r>
  <r>
    <x v="23"/>
    <x v="23"/>
    <s v="Male"/>
    <x v="3"/>
    <x v="2"/>
    <n v="22.99"/>
    <x v="0"/>
    <x v="3"/>
    <n v="61"/>
    <n v="86"/>
    <x v="0"/>
    <s v="Healthy Binger"/>
    <x v="0"/>
    <s v="Active Revenue"/>
  </r>
  <r>
    <x v="24"/>
    <x v="24"/>
    <s v="Female"/>
    <x v="4"/>
    <x v="0"/>
    <n v="15.49"/>
    <x v="1"/>
    <x v="0"/>
    <n v="44"/>
    <n v="73"/>
    <x v="0"/>
    <s v="Healthy Binger"/>
    <x v="0"/>
    <s v="Active Revenue"/>
  </r>
  <r>
    <x v="25"/>
    <x v="25"/>
    <s v="Male"/>
    <x v="0"/>
    <x v="1"/>
    <n v="9.99"/>
    <x v="4"/>
    <x v="2"/>
    <n v="27"/>
    <n v="55"/>
    <x v="0"/>
    <s v="Low Engagement"/>
    <x v="1"/>
    <s v="Active Revenue"/>
  </r>
  <r>
    <x v="26"/>
    <x v="26"/>
    <s v="Female"/>
    <x v="1"/>
    <x v="2"/>
    <n v="22.99"/>
    <x v="3"/>
    <x v="1"/>
    <n v="73"/>
    <n v="95"/>
    <x v="0"/>
    <s v="Healthy Binger"/>
    <x v="0"/>
    <s v="Active Revenue"/>
  </r>
  <r>
    <x v="27"/>
    <x v="27"/>
    <s v="Male"/>
    <x v="2"/>
    <x v="0"/>
    <n v="15.49"/>
    <x v="2"/>
    <x v="0"/>
    <n v="15"/>
    <n v="30"/>
    <x v="1"/>
    <s v="Critical Danger"/>
    <x v="1"/>
    <s v="Lost Revenue"/>
  </r>
  <r>
    <x v="28"/>
    <x v="28"/>
    <s v="Female"/>
    <x v="3"/>
    <x v="1"/>
    <n v="9.99"/>
    <x v="5"/>
    <x v="3"/>
    <n v="19"/>
    <n v="42"/>
    <x v="0"/>
    <s v="Critical Danger"/>
    <x v="1"/>
    <s v="Active Revenue"/>
  </r>
  <r>
    <x v="29"/>
    <x v="29"/>
    <s v="Male"/>
    <x v="4"/>
    <x v="2"/>
    <n v="22.99"/>
    <x v="0"/>
    <x v="2"/>
    <n v="66"/>
    <n v="90"/>
    <x v="0"/>
    <s v="Healthy Binger"/>
    <x v="0"/>
    <s v="Active Revenue"/>
  </r>
  <r>
    <x v="30"/>
    <x v="30"/>
    <s v="Female"/>
    <x v="0"/>
    <x v="0"/>
    <n v="15.49"/>
    <x v="1"/>
    <x v="0"/>
    <n v="41"/>
    <n v="74"/>
    <x v="0"/>
    <s v="Healthy Binger"/>
    <x v="0"/>
    <s v="Active Revenue"/>
  </r>
  <r>
    <x v="31"/>
    <x v="31"/>
    <s v="Male"/>
    <x v="1"/>
    <x v="1"/>
    <n v="9.99"/>
    <x v="4"/>
    <x v="1"/>
    <n v="6"/>
    <n v="12"/>
    <x v="1"/>
    <s v="Critical Danger"/>
    <x v="2"/>
    <s v="Lost Revenue"/>
  </r>
  <r>
    <x v="32"/>
    <x v="8"/>
    <s v="Female"/>
    <x v="2"/>
    <x v="2"/>
    <n v="22.99"/>
    <x v="3"/>
    <x v="2"/>
    <n v="50"/>
    <n v="81"/>
    <x v="0"/>
    <s v="Healthy Binger"/>
    <x v="0"/>
    <s v="Active Revenue"/>
  </r>
  <r>
    <x v="33"/>
    <x v="32"/>
    <s v="Male"/>
    <x v="3"/>
    <x v="0"/>
    <n v="15.49"/>
    <x v="2"/>
    <x v="3"/>
    <n v="35"/>
    <n v="63"/>
    <x v="0"/>
    <s v="Low Engagement"/>
    <x v="1"/>
    <s v="Active Revenue"/>
  </r>
  <r>
    <x v="34"/>
    <x v="6"/>
    <s v="Female"/>
    <x v="4"/>
    <x v="1"/>
    <n v="9.99"/>
    <x v="5"/>
    <x v="1"/>
    <n v="13"/>
    <n v="29"/>
    <x v="1"/>
    <s v="Critical Danger"/>
    <x v="2"/>
    <s v="Lost Revenue"/>
  </r>
  <r>
    <x v="35"/>
    <x v="33"/>
    <s v="Male"/>
    <x v="0"/>
    <x v="2"/>
    <n v="22.99"/>
    <x v="0"/>
    <x v="0"/>
    <n v="59"/>
    <n v="87"/>
    <x v="0"/>
    <s v="Healthy Binger"/>
    <x v="0"/>
    <s v="Active Revenue"/>
  </r>
  <r>
    <x v="36"/>
    <x v="34"/>
    <s v="Female"/>
    <x v="1"/>
    <x v="0"/>
    <n v="15.49"/>
    <x v="1"/>
    <x v="2"/>
    <n v="46"/>
    <n v="76"/>
    <x v="0"/>
    <s v="Healthy Binger"/>
    <x v="0"/>
    <s v="Active Revenue"/>
  </r>
  <r>
    <x v="37"/>
    <x v="1"/>
    <s v="Male"/>
    <x v="2"/>
    <x v="1"/>
    <n v="9.99"/>
    <x v="4"/>
    <x v="1"/>
    <n v="22"/>
    <n v="49"/>
    <x v="0"/>
    <s v="Low Engagement"/>
    <x v="1"/>
    <s v="Active Revenue"/>
  </r>
  <r>
    <x v="38"/>
    <x v="2"/>
    <s v="Female"/>
    <x v="3"/>
    <x v="2"/>
    <n v="22.99"/>
    <x v="3"/>
    <x v="3"/>
    <n v="68"/>
    <n v="92"/>
    <x v="0"/>
    <s v="Healthy Binger"/>
    <x v="0"/>
    <s v="Active Revenue"/>
  </r>
  <r>
    <x v="39"/>
    <x v="35"/>
    <s v="Male"/>
    <x v="4"/>
    <x v="0"/>
    <n v="15.49"/>
    <x v="2"/>
    <x v="0"/>
    <n v="12"/>
    <n v="26"/>
    <x v="1"/>
    <s v="Critical Danger"/>
    <x v="2"/>
    <s v="Lost Revenue"/>
  </r>
  <r>
    <x v="40"/>
    <x v="0"/>
    <s v="Female"/>
    <x v="0"/>
    <x v="1"/>
    <n v="9.99"/>
    <x v="5"/>
    <x v="2"/>
    <n v="24"/>
    <n v="52"/>
    <x v="0"/>
    <s v="Low Engagement"/>
    <x v="1"/>
    <s v="Active Revenue"/>
  </r>
  <r>
    <x v="41"/>
    <x v="36"/>
    <s v="Male"/>
    <x v="1"/>
    <x v="2"/>
    <n v="22.99"/>
    <x v="0"/>
    <x v="1"/>
    <n v="64"/>
    <n v="89"/>
    <x v="0"/>
    <s v="Healthy Binger"/>
    <x v="0"/>
    <s v="Active Revenue"/>
  </r>
  <r>
    <x v="42"/>
    <x v="12"/>
    <s v="Female"/>
    <x v="2"/>
    <x v="0"/>
    <n v="15.49"/>
    <x v="1"/>
    <x v="0"/>
    <n v="39"/>
    <n v="72"/>
    <x v="0"/>
    <s v="Low Engagement"/>
    <x v="0"/>
    <s v="Active Revenue"/>
  </r>
  <r>
    <x v="43"/>
    <x v="37"/>
    <s v="Male"/>
    <x v="3"/>
    <x v="1"/>
    <n v="9.99"/>
    <x v="4"/>
    <x v="3"/>
    <n v="7"/>
    <n v="14"/>
    <x v="1"/>
    <s v="Critical Danger"/>
    <x v="2"/>
    <s v="Lost Revenue"/>
  </r>
  <r>
    <x v="44"/>
    <x v="22"/>
    <s v="Female"/>
    <x v="4"/>
    <x v="2"/>
    <n v="22.99"/>
    <x v="3"/>
    <x v="2"/>
    <n v="54"/>
    <n v="83"/>
    <x v="0"/>
    <s v="Healthy Binger"/>
    <x v="0"/>
    <s v="Active Revenue"/>
  </r>
  <r>
    <x v="45"/>
    <x v="38"/>
    <s v="Male"/>
    <x v="0"/>
    <x v="0"/>
    <n v="15.49"/>
    <x v="2"/>
    <x v="1"/>
    <n v="17"/>
    <n v="35"/>
    <x v="1"/>
    <s v="Critical Danger"/>
    <x v="1"/>
    <s v="Lost Revenue"/>
  </r>
  <r>
    <x v="46"/>
    <x v="24"/>
    <s v="Female"/>
    <x v="1"/>
    <x v="1"/>
    <n v="9.99"/>
    <x v="5"/>
    <x v="0"/>
    <n v="21"/>
    <n v="46"/>
    <x v="0"/>
    <s v="Low Engagement"/>
    <x v="1"/>
    <s v="Active Revenue"/>
  </r>
  <r>
    <x v="47"/>
    <x v="39"/>
    <s v="Male"/>
    <x v="2"/>
    <x v="2"/>
    <n v="22.99"/>
    <x v="0"/>
    <x v="3"/>
    <n v="63"/>
    <n v="87"/>
    <x v="0"/>
    <s v="Healthy Binger"/>
    <x v="0"/>
    <s v="Active Revenue"/>
  </r>
  <r>
    <x v="48"/>
    <x v="5"/>
    <s v="Female"/>
    <x v="3"/>
    <x v="0"/>
    <n v="15.49"/>
    <x v="1"/>
    <x v="2"/>
    <n v="37"/>
    <n v="68"/>
    <x v="0"/>
    <s v="Low Engagement"/>
    <x v="1"/>
    <s v="Active Revenue"/>
  </r>
  <r>
    <x v="49"/>
    <x v="30"/>
    <s v="Male"/>
    <x v="4"/>
    <x v="1"/>
    <n v="9.99"/>
    <x v="4"/>
    <x v="1"/>
    <n v="8"/>
    <n v="19"/>
    <x v="1"/>
    <s v="Critical Danger"/>
    <x v="2"/>
    <s v="Lost Revenue"/>
  </r>
  <r>
    <x v="50"/>
    <x v="19"/>
    <s v="Female"/>
    <x v="0"/>
    <x v="2"/>
    <n v="22.99"/>
    <x v="3"/>
    <x v="0"/>
    <n v="57"/>
    <n v="82"/>
    <x v="0"/>
    <s v="Healthy Binger"/>
    <x v="0"/>
    <s v="Active Revenue"/>
  </r>
  <r>
    <x v="51"/>
    <x v="4"/>
    <s v="Male"/>
    <x v="1"/>
    <x v="0"/>
    <n v="15.49"/>
    <x v="2"/>
    <x v="3"/>
    <n v="43"/>
    <n v="71"/>
    <x v="0"/>
    <s v="Healthy Binger"/>
    <x v="0"/>
    <s v="Active Revenue"/>
  </r>
  <r>
    <x v="52"/>
    <x v="14"/>
    <s v="Female"/>
    <x v="2"/>
    <x v="1"/>
    <n v="9.99"/>
    <x v="5"/>
    <x v="1"/>
    <n v="10"/>
    <n v="22"/>
    <x v="1"/>
    <s v="Critical Danger"/>
    <x v="2"/>
    <s v="Lost Revenue"/>
  </r>
  <r>
    <x v="53"/>
    <x v="15"/>
    <s v="Male"/>
    <x v="3"/>
    <x v="2"/>
    <n v="22.99"/>
    <x v="0"/>
    <x v="2"/>
    <n v="60"/>
    <n v="85"/>
    <x v="0"/>
    <s v="Healthy Binger"/>
    <x v="0"/>
    <s v="Active Revenue"/>
  </r>
  <r>
    <x v="54"/>
    <x v="16"/>
    <s v="Female"/>
    <x v="4"/>
    <x v="0"/>
    <n v="15.49"/>
    <x v="1"/>
    <x v="0"/>
    <n v="45"/>
    <n v="74"/>
    <x v="0"/>
    <s v="Healthy Binger"/>
    <x v="0"/>
    <s v="Active Revenue"/>
  </r>
  <r>
    <x v="55"/>
    <x v="18"/>
    <s v="Male"/>
    <x v="0"/>
    <x v="1"/>
    <n v="9.99"/>
    <x v="4"/>
    <x v="3"/>
    <n v="26"/>
    <n v="54"/>
    <x v="0"/>
    <s v="Low Engagement"/>
    <x v="1"/>
    <s v="Active Revenue"/>
  </r>
  <r>
    <x v="56"/>
    <x v="40"/>
    <s v="Female"/>
    <x v="1"/>
    <x v="2"/>
    <n v="22.99"/>
    <x v="3"/>
    <x v="1"/>
    <n v="72"/>
    <n v="94"/>
    <x v="0"/>
    <s v="Healthy Binger"/>
    <x v="0"/>
    <s v="Active Revenue"/>
  </r>
  <r>
    <x v="57"/>
    <x v="9"/>
    <s v="Male"/>
    <x v="2"/>
    <x v="0"/>
    <n v="15.49"/>
    <x v="2"/>
    <x v="2"/>
    <n v="14"/>
    <n v="31"/>
    <x v="1"/>
    <s v="Critical Danger"/>
    <x v="1"/>
    <s v="Lost Revenue"/>
  </r>
  <r>
    <x v="58"/>
    <x v="28"/>
    <s v="Female"/>
    <x v="3"/>
    <x v="1"/>
    <n v="9.99"/>
    <x v="5"/>
    <x v="0"/>
    <n v="18"/>
    <n v="40"/>
    <x v="0"/>
    <s v="Critical Danger"/>
    <x v="1"/>
    <s v="Active Revenue"/>
  </r>
  <r>
    <x v="59"/>
    <x v="35"/>
    <s v="Male"/>
    <x v="4"/>
    <x v="2"/>
    <n v="22.99"/>
    <x v="0"/>
    <x v="3"/>
    <n v="67"/>
    <n v="91"/>
    <x v="0"/>
    <s v="Healthy Binger"/>
    <x v="0"/>
    <s v="Active Revenue"/>
  </r>
  <r>
    <x v="60"/>
    <x v="27"/>
    <s v="Female"/>
    <x v="0"/>
    <x v="0"/>
    <n v="15.49"/>
    <x v="1"/>
    <x v="2"/>
    <n v="42"/>
    <n v="73"/>
    <x v="0"/>
    <s v="Healthy Binger"/>
    <x v="0"/>
    <s v="Active Revenue"/>
  </r>
  <r>
    <x v="61"/>
    <x v="41"/>
    <s v="Male"/>
    <x v="1"/>
    <x v="1"/>
    <n v="9.99"/>
    <x v="4"/>
    <x v="1"/>
    <n v="5"/>
    <n v="11"/>
    <x v="1"/>
    <s v="Critical Danger"/>
    <x v="2"/>
    <s v="Lost Revenue"/>
  </r>
  <r>
    <x v="62"/>
    <x v="0"/>
    <s v="Female"/>
    <x v="2"/>
    <x v="2"/>
    <n v="22.99"/>
    <x v="3"/>
    <x v="0"/>
    <n v="51"/>
    <n v="80"/>
    <x v="0"/>
    <s v="Healthy Binger"/>
    <x v="0"/>
    <s v="Active Revenue"/>
  </r>
  <r>
    <x v="63"/>
    <x v="7"/>
    <s v="Male"/>
    <x v="3"/>
    <x v="0"/>
    <n v="15.49"/>
    <x v="2"/>
    <x v="3"/>
    <n v="36"/>
    <n v="64"/>
    <x v="0"/>
    <s v="Low Engagement"/>
    <x v="1"/>
    <s v="Active Revenue"/>
  </r>
  <r>
    <x v="64"/>
    <x v="24"/>
    <s v="Female"/>
    <x v="4"/>
    <x v="1"/>
    <n v="9.99"/>
    <x v="5"/>
    <x v="2"/>
    <n v="12"/>
    <n v="27"/>
    <x v="1"/>
    <s v="Critical Danger"/>
    <x v="2"/>
    <s v="Lost Revenue"/>
  </r>
  <r>
    <x v="65"/>
    <x v="25"/>
    <s v="Male"/>
    <x v="0"/>
    <x v="2"/>
    <n v="22.99"/>
    <x v="0"/>
    <x v="1"/>
    <n v="58"/>
    <n v="86"/>
    <x v="0"/>
    <s v="Healthy Binger"/>
    <x v="0"/>
    <s v="Active Revenue"/>
  </r>
  <r>
    <x v="66"/>
    <x v="17"/>
    <s v="Female"/>
    <x v="1"/>
    <x v="0"/>
    <n v="15.49"/>
    <x v="1"/>
    <x v="0"/>
    <n v="47"/>
    <n v="75"/>
    <x v="0"/>
    <s v="Healthy Binger"/>
    <x v="0"/>
    <s v="Active Revenue"/>
  </r>
  <r>
    <x v="67"/>
    <x v="23"/>
    <s v="Male"/>
    <x v="2"/>
    <x v="1"/>
    <n v="9.99"/>
    <x v="4"/>
    <x v="3"/>
    <n v="23"/>
    <n v="51"/>
    <x v="0"/>
    <s v="Low Engagement"/>
    <x v="1"/>
    <s v="Active Revenue"/>
  </r>
  <r>
    <x v="68"/>
    <x v="20"/>
    <s v="Female"/>
    <x v="3"/>
    <x v="2"/>
    <n v="22.99"/>
    <x v="3"/>
    <x v="2"/>
    <n v="69"/>
    <n v="93"/>
    <x v="0"/>
    <s v="Healthy Binger"/>
    <x v="0"/>
    <s v="Active Revenue"/>
  </r>
  <r>
    <x v="69"/>
    <x v="21"/>
    <s v="Male"/>
    <x v="4"/>
    <x v="0"/>
    <n v="15.49"/>
    <x v="2"/>
    <x v="1"/>
    <n v="11"/>
    <n v="24"/>
    <x v="1"/>
    <s v="Critical Danger"/>
    <x v="2"/>
    <s v="Lost Revenue"/>
  </r>
  <r>
    <x v="70"/>
    <x v="8"/>
    <s v="Female"/>
    <x v="0"/>
    <x v="1"/>
    <n v="9.99"/>
    <x v="5"/>
    <x v="0"/>
    <n v="23"/>
    <n v="50"/>
    <x v="0"/>
    <s v="Low Engagement"/>
    <x v="1"/>
    <s v="Active Revenue"/>
  </r>
  <r>
    <x v="71"/>
    <x v="11"/>
    <s v="Male"/>
    <x v="1"/>
    <x v="2"/>
    <n v="22.99"/>
    <x v="0"/>
    <x v="3"/>
    <n v="65"/>
    <n v="88"/>
    <x v="0"/>
    <s v="Healthy Binger"/>
    <x v="0"/>
    <s v="Active Revenue"/>
  </r>
  <r>
    <x v="72"/>
    <x v="24"/>
    <s v="Female"/>
    <x v="2"/>
    <x v="0"/>
    <n v="15.49"/>
    <x v="1"/>
    <x v="2"/>
    <n v="38"/>
    <n v="70"/>
    <x v="0"/>
    <s v="Low Engagement"/>
    <x v="0"/>
    <s v="Active Revenue"/>
  </r>
  <r>
    <x v="73"/>
    <x v="42"/>
    <s v="Male"/>
    <x v="3"/>
    <x v="1"/>
    <n v="9.99"/>
    <x v="4"/>
    <x v="1"/>
    <n v="8"/>
    <n v="16"/>
    <x v="1"/>
    <s v="Critical Danger"/>
    <x v="2"/>
    <s v="Lost Revenue"/>
  </r>
  <r>
    <x v="74"/>
    <x v="14"/>
    <s v="Female"/>
    <x v="4"/>
    <x v="2"/>
    <n v="22.99"/>
    <x v="3"/>
    <x v="0"/>
    <n v="53"/>
    <n v="84"/>
    <x v="0"/>
    <s v="Healthy Binger"/>
    <x v="0"/>
    <s v="Active Revenue"/>
  </r>
  <r>
    <x v="75"/>
    <x v="15"/>
    <s v="Male"/>
    <x v="0"/>
    <x v="0"/>
    <n v="15.49"/>
    <x v="2"/>
    <x v="3"/>
    <n v="18"/>
    <n v="34"/>
    <x v="1"/>
    <s v="Critical Danger"/>
    <x v="1"/>
    <s v="Lost Revenue"/>
  </r>
  <r>
    <x v="76"/>
    <x v="6"/>
    <s v="Female"/>
    <x v="1"/>
    <x v="1"/>
    <n v="9.99"/>
    <x v="5"/>
    <x v="2"/>
    <n v="22"/>
    <n v="47"/>
    <x v="0"/>
    <s v="Low Engagement"/>
    <x v="1"/>
    <s v="Active Revenue"/>
  </r>
  <r>
    <x v="77"/>
    <x v="31"/>
    <s v="Male"/>
    <x v="2"/>
    <x v="2"/>
    <n v="22.99"/>
    <x v="0"/>
    <x v="1"/>
    <n v="62"/>
    <n v="86"/>
    <x v="0"/>
    <s v="Healthy Binger"/>
    <x v="0"/>
    <s v="Active Revenue"/>
  </r>
  <r>
    <x v="78"/>
    <x v="28"/>
    <s v="Female"/>
    <x v="3"/>
    <x v="0"/>
    <n v="15.49"/>
    <x v="1"/>
    <x v="0"/>
    <n v="36"/>
    <n v="67"/>
    <x v="0"/>
    <s v="Low Engagement"/>
    <x v="1"/>
    <s v="Active Revenue"/>
  </r>
  <r>
    <x v="79"/>
    <x v="19"/>
    <s v="Male"/>
    <x v="4"/>
    <x v="1"/>
    <n v="9.99"/>
    <x v="4"/>
    <x v="3"/>
    <n v="9"/>
    <n v="20"/>
    <x v="1"/>
    <s v="Critical Danger"/>
    <x v="2"/>
    <s v="Lost Revenue"/>
  </r>
  <r>
    <x v="80"/>
    <x v="2"/>
    <s v="Female"/>
    <x v="0"/>
    <x v="2"/>
    <n v="22.99"/>
    <x v="3"/>
    <x v="2"/>
    <n v="56"/>
    <n v="83"/>
    <x v="0"/>
    <s v="Healthy Binger"/>
    <x v="0"/>
    <s v="Active Revenue"/>
  </r>
  <r>
    <x v="81"/>
    <x v="41"/>
    <s v="Male"/>
    <x v="1"/>
    <x v="0"/>
    <n v="15.49"/>
    <x v="2"/>
    <x v="1"/>
    <n v="44"/>
    <n v="72"/>
    <x v="0"/>
    <s v="Healthy Binger"/>
    <x v="0"/>
    <s v="Active Revenue"/>
  </r>
  <r>
    <x v="82"/>
    <x v="22"/>
    <s v="Female"/>
    <x v="2"/>
    <x v="1"/>
    <n v="9.99"/>
    <x v="5"/>
    <x v="0"/>
    <n v="11"/>
    <n v="26"/>
    <x v="1"/>
    <s v="Critical Danger"/>
    <x v="2"/>
    <s v="Lost Revenue"/>
  </r>
  <r>
    <x v="83"/>
    <x v="1"/>
    <s v="Male"/>
    <x v="3"/>
    <x v="2"/>
    <n v="22.99"/>
    <x v="0"/>
    <x v="3"/>
    <n v="59"/>
    <n v="85"/>
    <x v="0"/>
    <s v="Healthy Binger"/>
    <x v="0"/>
    <s v="Active Revenue"/>
  </r>
  <r>
    <x v="84"/>
    <x v="6"/>
    <s v="Female"/>
    <x v="4"/>
    <x v="0"/>
    <n v="15.49"/>
    <x v="1"/>
    <x v="2"/>
    <n v="46"/>
    <n v="75"/>
    <x v="0"/>
    <s v="Healthy Binger"/>
    <x v="0"/>
    <s v="Active Revenue"/>
  </r>
  <r>
    <x v="85"/>
    <x v="10"/>
    <s v="Male"/>
    <x v="0"/>
    <x v="1"/>
    <n v="9.99"/>
    <x v="4"/>
    <x v="1"/>
    <n v="25"/>
    <n v="53"/>
    <x v="0"/>
    <s v="Low Engagement"/>
    <x v="1"/>
    <s v="Active Revenue"/>
  </r>
  <r>
    <x v="86"/>
    <x v="26"/>
    <s v="Female"/>
    <x v="1"/>
    <x v="2"/>
    <n v="22.99"/>
    <x v="3"/>
    <x v="0"/>
    <n v="71"/>
    <n v="94"/>
    <x v="0"/>
    <s v="Healthy Binger"/>
    <x v="0"/>
    <s v="Active Revenue"/>
  </r>
  <r>
    <x v="87"/>
    <x v="27"/>
    <s v="Male"/>
    <x v="2"/>
    <x v="0"/>
    <n v="15.49"/>
    <x v="2"/>
    <x v="3"/>
    <n v="13"/>
    <n v="29"/>
    <x v="1"/>
    <s v="Critical Danger"/>
    <x v="2"/>
    <s v="Lost Revenue"/>
  </r>
  <r>
    <x v="88"/>
    <x v="5"/>
    <s v="Female"/>
    <x v="3"/>
    <x v="1"/>
    <n v="9.99"/>
    <x v="5"/>
    <x v="2"/>
    <n v="17"/>
    <n v="39"/>
    <x v="0"/>
    <s v="Critical Danger"/>
    <x v="1"/>
    <s v="Active Revenue"/>
  </r>
  <r>
    <x v="89"/>
    <x v="29"/>
    <s v="Male"/>
    <x v="4"/>
    <x v="2"/>
    <n v="22.99"/>
    <x v="0"/>
    <x v="1"/>
    <n v="68"/>
    <n v="91"/>
    <x v="0"/>
    <s v="Healthy Binger"/>
    <x v="0"/>
    <s v="Active Revenue"/>
  </r>
  <r>
    <x v="90"/>
    <x v="9"/>
    <s v="Female"/>
    <x v="0"/>
    <x v="0"/>
    <n v="15.49"/>
    <x v="1"/>
    <x v="0"/>
    <n v="43"/>
    <n v="74"/>
    <x v="0"/>
    <s v="Healthy Binger"/>
    <x v="0"/>
    <s v="Active Revenue"/>
  </r>
  <r>
    <x v="91"/>
    <x v="39"/>
    <s v="Male"/>
    <x v="1"/>
    <x v="1"/>
    <n v="9.99"/>
    <x v="4"/>
    <x v="3"/>
    <n v="4"/>
    <n v="9"/>
    <x v="1"/>
    <s v="Critical Danger"/>
    <x v="2"/>
    <s v="Lost Revenue"/>
  </r>
  <r>
    <x v="92"/>
    <x v="8"/>
    <s v="Female"/>
    <x v="2"/>
    <x v="2"/>
    <n v="22.99"/>
    <x v="3"/>
    <x v="2"/>
    <n v="52"/>
    <n v="82"/>
    <x v="0"/>
    <s v="Healthy Binger"/>
    <x v="0"/>
    <s v="Active Revenue"/>
  </r>
  <r>
    <x v="93"/>
    <x v="32"/>
    <s v="Male"/>
    <x v="3"/>
    <x v="0"/>
    <n v="15.49"/>
    <x v="2"/>
    <x v="1"/>
    <n v="34"/>
    <n v="62"/>
    <x v="0"/>
    <s v="Low Engagement"/>
    <x v="1"/>
    <s v="Active Revenue"/>
  </r>
  <r>
    <x v="94"/>
    <x v="12"/>
    <s v="Female"/>
    <x v="4"/>
    <x v="1"/>
    <n v="9.99"/>
    <x v="5"/>
    <x v="0"/>
    <n v="14"/>
    <n v="30"/>
    <x v="1"/>
    <s v="Critical Danger"/>
    <x v="1"/>
    <s v="Lost Revenue"/>
  </r>
  <r>
    <x v="95"/>
    <x v="33"/>
    <s v="Male"/>
    <x v="0"/>
    <x v="2"/>
    <n v="22.99"/>
    <x v="0"/>
    <x v="3"/>
    <n v="60"/>
    <n v="86"/>
    <x v="0"/>
    <s v="Healthy Binger"/>
    <x v="0"/>
    <s v="Active Revenue"/>
  </r>
  <r>
    <x v="96"/>
    <x v="43"/>
    <s v="Female"/>
    <x v="1"/>
    <x v="0"/>
    <n v="15.49"/>
    <x v="1"/>
    <x v="2"/>
    <n v="45"/>
    <n v="74"/>
    <x v="0"/>
    <s v="Healthy Binger"/>
    <x v="0"/>
    <s v="Active Revenue"/>
  </r>
  <r>
    <x v="97"/>
    <x v="15"/>
    <s v="Male"/>
    <x v="2"/>
    <x v="1"/>
    <n v="9.99"/>
    <x v="4"/>
    <x v="1"/>
    <n v="21"/>
    <n v="48"/>
    <x v="0"/>
    <s v="Low Engagement"/>
    <x v="1"/>
    <s v="Active Revenue"/>
  </r>
  <r>
    <x v="98"/>
    <x v="19"/>
    <s v="Female"/>
    <x v="3"/>
    <x v="2"/>
    <n v="22.99"/>
    <x v="3"/>
    <x v="0"/>
    <n v="67"/>
    <n v="91"/>
    <x v="0"/>
    <s v="Healthy Binger"/>
    <x v="0"/>
    <s v="Active Revenue"/>
  </r>
  <r>
    <x v="99"/>
    <x v="21"/>
    <s v="Male"/>
    <x v="4"/>
    <x v="0"/>
    <n v="15.49"/>
    <x v="2"/>
    <x v="3"/>
    <n v="10"/>
    <n v="23"/>
    <x v="1"/>
    <s v="Critical Danger"/>
    <x v="2"/>
    <s v="Lost Reven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28165C-52BB-448E-9DEF-B29B813A9D37}" name="PivotTable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14">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items count="6">
        <item x="4"/>
        <item x="3"/>
        <item x="1"/>
        <item x="2"/>
        <item x="0"/>
        <item t="default"/>
      </items>
    </pivotField>
    <pivotField showAll="0">
      <items count="4">
        <item x="1"/>
        <item x="2"/>
        <item x="0"/>
        <item t="default"/>
      </items>
    </pivotField>
    <pivotField dataField="1" showAll="0"/>
    <pivotField showAll="0"/>
    <pivotField showAll="0"/>
    <pivotField showAll="0"/>
    <pivotField dataField="1" showAll="0"/>
    <pivotField axis="axisRow" showAll="0">
      <items count="3">
        <item x="0"/>
        <item x="1"/>
        <item t="default"/>
      </items>
    </pivotField>
    <pivotField showAll="0"/>
    <pivotField showAll="0"/>
    <pivotField showAll="0"/>
  </pivotFields>
  <rowFields count="1">
    <field x="10"/>
  </rowFields>
  <rowItems count="3">
    <i>
      <x/>
    </i>
    <i>
      <x v="1"/>
    </i>
    <i t="grand">
      <x/>
    </i>
  </rowItems>
  <colFields count="1">
    <field x="-2"/>
  </colFields>
  <colItems count="3">
    <i>
      <x/>
    </i>
    <i i="1">
      <x v="1"/>
    </i>
    <i i="2">
      <x v="2"/>
    </i>
  </colItems>
  <dataFields count="3">
    <dataField name="Count of User_ID" fld="0" subtotal="count" baseField="0" baseItem="0"/>
    <dataField name="Sum of Monthly_Price_USD" fld="5" baseField="0" baseItem="0"/>
    <dataField name="Sum of Content_Completion_Rate_Pc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520110-D180-4DD0-B70B-E34E91D6C269}"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D10" firstHeaderRow="1" firstDataRow="2" firstDataCol="1"/>
  <pivotFields count="14">
    <pivotField showAll="0"/>
    <pivotField showAll="0"/>
    <pivotField showAll="0"/>
    <pivotField axis="axisRow" showAll="0">
      <items count="6">
        <item x="4"/>
        <item x="3"/>
        <item x="1"/>
        <item x="2"/>
        <item x="0"/>
        <item t="default"/>
      </items>
    </pivotField>
    <pivotField showAll="0">
      <items count="4">
        <item x="1"/>
        <item x="2"/>
        <item x="0"/>
        <item t="default"/>
      </items>
    </pivotField>
    <pivotField showAll="0"/>
    <pivotField showAll="0"/>
    <pivotField showAll="0"/>
    <pivotField showAll="0"/>
    <pivotField showAll="0"/>
    <pivotField axis="axisCol" dataField="1" showAll="0">
      <items count="3">
        <item x="0"/>
        <item x="1"/>
        <item t="default"/>
      </items>
    </pivotField>
    <pivotField showAll="0"/>
    <pivotField showAll="0"/>
    <pivotField showAll="0"/>
  </pivotFields>
  <rowFields count="1">
    <field x="3"/>
  </rowFields>
  <rowItems count="6">
    <i>
      <x/>
    </i>
    <i>
      <x v="1"/>
    </i>
    <i>
      <x v="2"/>
    </i>
    <i>
      <x v="3"/>
    </i>
    <i>
      <x v="4"/>
    </i>
    <i t="grand">
      <x/>
    </i>
  </rowItems>
  <colFields count="1">
    <field x="10"/>
  </colFields>
  <colItems count="3">
    <i>
      <x/>
    </i>
    <i>
      <x v="1"/>
    </i>
    <i t="grand">
      <x/>
    </i>
  </colItems>
  <dataFields count="1">
    <dataField name="Count of Account_Status" fld="10" subtotal="count" showDataAs="percentOfRow" baseField="0" baseItem="0" numFmtId="9"/>
  </dataFields>
  <formats count="1">
    <format dxfId="8">
      <pivotArea outline="0" collapsedLevelsAreSubtotals="1" fieldPosition="0"/>
    </format>
  </formats>
  <chartFormats count="9">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pivotArea type="data" outline="0" fieldPosition="0">
        <references count="3">
          <reference field="4294967294" count="1" selected="0">
            <x v="0"/>
          </reference>
          <reference field="3" count="1" selected="0">
            <x v="0"/>
          </reference>
          <reference field="10" count="1" selected="0">
            <x v="0"/>
          </reference>
        </references>
      </pivotArea>
    </chartFormat>
    <chartFormat chart="1" format="3">
      <pivotArea type="data" outline="0" fieldPosition="0">
        <references count="3">
          <reference field="4294967294" count="1" selected="0">
            <x v="0"/>
          </reference>
          <reference field="3" count="1" selected="0">
            <x v="2"/>
          </reference>
          <reference field="10" count="1" selected="0">
            <x v="0"/>
          </reference>
        </references>
      </pivotArea>
    </chartFormat>
    <chartFormat chart="1" format="4">
      <pivotArea type="data" outline="0" fieldPosition="0">
        <references count="3">
          <reference field="4294967294" count="1" selected="0">
            <x v="0"/>
          </reference>
          <reference field="3" count="1" selected="0">
            <x v="3"/>
          </reference>
          <reference field="10" count="1" selected="0">
            <x v="0"/>
          </reference>
        </references>
      </pivotArea>
    </chartFormat>
    <chartFormat chart="1" format="5">
      <pivotArea type="data" outline="0" fieldPosition="0">
        <references count="3">
          <reference field="4294967294" count="1" selected="0">
            <x v="0"/>
          </reference>
          <reference field="3" count="1" selected="0">
            <x v="4"/>
          </reference>
          <reference field="10" count="1" selected="0">
            <x v="0"/>
          </reference>
        </references>
      </pivotArea>
    </chartFormat>
    <chartFormat chart="1" format="6">
      <pivotArea type="data" outline="0" fieldPosition="0">
        <references count="3">
          <reference field="4294967294" count="1" selected="0">
            <x v="0"/>
          </reference>
          <reference field="3" count="1" selected="0">
            <x v="1"/>
          </reference>
          <reference field="10" count="1" selected="0">
            <x v="0"/>
          </reference>
        </references>
      </pivotArea>
    </chartFormat>
    <chartFormat chart="23" format="9" series="1">
      <pivotArea type="data" outline="0" fieldPosition="0">
        <references count="2">
          <reference field="4294967294" count="1" selected="0">
            <x v="0"/>
          </reference>
          <reference field="10" count="1" selected="0">
            <x v="0"/>
          </reference>
        </references>
      </pivotArea>
    </chartFormat>
    <chartFormat chart="23" format="10"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5A32BE-A028-430E-A0C1-A08E2293D7D4}" name="PivotTable1" cacheId="3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31">
  <location ref="A3:B10" firstHeaderRow="1" firstDataRow="1" firstDataCol="1" rowPageCount="1" colPageCount="1"/>
  <pivotFields count="14">
    <pivotField dataField="1" showAll="0"/>
    <pivotField showAll="0"/>
    <pivotField showAll="0"/>
    <pivotField showAll="0">
      <items count="6">
        <item x="4"/>
        <item x="3"/>
        <item x="1"/>
        <item x="2"/>
        <item x="0"/>
        <item t="default"/>
      </items>
    </pivotField>
    <pivotField showAll="0">
      <items count="4">
        <item x="1"/>
        <item x="2"/>
        <item x="0"/>
        <item t="default"/>
      </items>
    </pivotField>
    <pivotField showAll="0"/>
    <pivotField axis="axisRow" sortType="ascending">
      <items count="7">
        <item x="3"/>
        <item x="2"/>
        <item x="4"/>
        <item x="1"/>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0"/>
        <item x="1"/>
        <item t="default"/>
      </items>
    </pivotField>
    <pivotField showAll="0"/>
    <pivotField axis="axisPage" multipleItemSelectionAllowed="1" showAll="0">
      <items count="4">
        <item h="1" x="1"/>
        <item x="0"/>
        <item h="1" x="2"/>
        <item t="default"/>
      </items>
    </pivotField>
    <pivotField showAll="0"/>
  </pivotFields>
  <rowFields count="1">
    <field x="6"/>
  </rowFields>
  <rowItems count="7">
    <i>
      <x v="2"/>
    </i>
    <i>
      <x v="4"/>
    </i>
    <i>
      <x v="1"/>
    </i>
    <i>
      <x v="3"/>
    </i>
    <i>
      <x/>
    </i>
    <i>
      <x v="5"/>
    </i>
    <i t="grand">
      <x/>
    </i>
  </rowItems>
  <colItems count="1">
    <i/>
  </colItems>
  <pageFields count="1">
    <pageField fld="12" hier="-1"/>
  </pageFields>
  <dataFields count="1">
    <dataField name="Count of User_ID" fld="0" subtotal="count" baseField="0" baseItem="0"/>
  </dataFields>
  <chartFormats count="2">
    <chartFormat chart="2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9E4E5E-B495-4207-B15D-B7DEA53421CF}"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B7" firstHeaderRow="1" firstDataRow="1" firstDataCol="1"/>
  <pivotFields count="14">
    <pivotField showAll="0"/>
    <pivotField showAll="0"/>
    <pivotField showAll="0"/>
    <pivotField showAll="0">
      <items count="6">
        <item x="4"/>
        <item x="3"/>
        <item x="1"/>
        <item x="2"/>
        <item x="0"/>
        <item t="default"/>
      </items>
    </pivotField>
    <pivotField axis="axisRow" showAll="0">
      <items count="4">
        <item x="1"/>
        <item x="2"/>
        <item x="0"/>
        <item t="default"/>
      </items>
    </pivotField>
    <pivotField dataField="1" showAll="0"/>
    <pivotField showAll="0"/>
    <pivotField showAll="0"/>
    <pivotField showAll="0"/>
    <pivotField showAll="0"/>
    <pivotField showAll="0">
      <items count="3">
        <item x="0"/>
        <item x="1"/>
        <item t="default"/>
      </items>
    </pivotField>
    <pivotField showAll="0"/>
    <pivotField showAll="0"/>
    <pivotField showAll="0"/>
  </pivotFields>
  <rowFields count="1">
    <field x="4"/>
  </rowFields>
  <rowItems count="4">
    <i>
      <x/>
    </i>
    <i>
      <x v="1"/>
    </i>
    <i>
      <x v="2"/>
    </i>
    <i t="grand">
      <x/>
    </i>
  </rowItems>
  <colItems count="1">
    <i/>
  </colItems>
  <dataFields count="1">
    <dataField name="Sum of Monthly_Price_USD" fld="5" baseField="0" baseItem="0" numFmtId="164"/>
  </dataFields>
  <formats count="2">
    <format dxfId="7">
      <pivotArea dataOnly="0" outline="0" axis="axisValues" fieldPosition="0"/>
    </format>
    <format dxfId="6">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37" format="20" series="1">
      <pivotArea type="data" outline="0" fieldPosition="0">
        <references count="1">
          <reference field="4294967294" count="1" selected="0">
            <x v="0"/>
          </reference>
        </references>
      </pivotArea>
    </chartFormat>
    <chartFormat chart="37" format="21">
      <pivotArea type="data" outline="0" fieldPosition="0">
        <references count="2">
          <reference field="4294967294" count="1" selected="0">
            <x v="0"/>
          </reference>
          <reference field="4" count="1" selected="0">
            <x v="0"/>
          </reference>
        </references>
      </pivotArea>
    </chartFormat>
    <chartFormat chart="37" format="22">
      <pivotArea type="data" outline="0" fieldPosition="0">
        <references count="2">
          <reference field="4294967294" count="1" selected="0">
            <x v="0"/>
          </reference>
          <reference field="4" count="1" selected="0">
            <x v="1"/>
          </reference>
        </references>
      </pivotArea>
    </chartFormat>
    <chartFormat chart="37" format="23">
      <pivotArea type="data" outline="0" fieldPosition="0">
        <references count="2">
          <reference field="4294967294" count="1" selected="0">
            <x v="0"/>
          </reference>
          <reference field="4" count="1" selected="0">
            <x v="2"/>
          </reference>
        </references>
      </pivotArea>
    </chartFormat>
    <chartFormat chart="39" format="28" series="1">
      <pivotArea type="data" outline="0" fieldPosition="0">
        <references count="1">
          <reference field="4294967294" count="1" selected="0">
            <x v="0"/>
          </reference>
        </references>
      </pivotArea>
    </chartFormat>
    <chartFormat chart="39" format="29">
      <pivotArea type="data" outline="0" fieldPosition="0">
        <references count="2">
          <reference field="4294967294" count="1" selected="0">
            <x v="0"/>
          </reference>
          <reference field="4" count="1" selected="0">
            <x v="0"/>
          </reference>
        </references>
      </pivotArea>
    </chartFormat>
    <chartFormat chart="39" format="30">
      <pivotArea type="data" outline="0" fieldPosition="0">
        <references count="2">
          <reference field="4294967294" count="1" selected="0">
            <x v="0"/>
          </reference>
          <reference field="4" count="1" selected="0">
            <x v="1"/>
          </reference>
        </references>
      </pivotArea>
    </chartFormat>
    <chartFormat chart="39" format="3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553E68-49F3-4632-8E35-0DC201BB93B1}"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D9" firstHeaderRow="1" firstDataRow="2" firstDataCol="1"/>
  <pivotFields count="14">
    <pivotField dataField="1" showAll="0"/>
    <pivotField showAll="0"/>
    <pivotField showAll="0"/>
    <pivotField showAll="0">
      <items count="6">
        <item x="4"/>
        <item x="3"/>
        <item x="1"/>
        <item x="2"/>
        <item x="0"/>
        <item t="default"/>
      </items>
    </pivotField>
    <pivotField showAll="0">
      <items count="4">
        <item x="1"/>
        <item x="2"/>
        <item x="0"/>
        <item t="default"/>
      </items>
    </pivotField>
    <pivotField showAll="0"/>
    <pivotField showAll="0"/>
    <pivotField axis="axisRow" showAll="0">
      <items count="5">
        <item x="2"/>
        <item x="1"/>
        <item x="0"/>
        <item x="3"/>
        <item t="default"/>
      </items>
    </pivotField>
    <pivotField showAll="0"/>
    <pivotField showAll="0"/>
    <pivotField axis="axisCol" showAll="0">
      <items count="3">
        <item x="0"/>
        <item x="1"/>
        <item t="default"/>
      </items>
    </pivotField>
    <pivotField showAll="0"/>
    <pivotField showAll="0"/>
    <pivotField showAll="0"/>
  </pivotFields>
  <rowFields count="1">
    <field x="7"/>
  </rowFields>
  <rowItems count="5">
    <i>
      <x/>
    </i>
    <i>
      <x v="1"/>
    </i>
    <i>
      <x v="2"/>
    </i>
    <i>
      <x v="3"/>
    </i>
    <i t="grand">
      <x/>
    </i>
  </rowItems>
  <colFields count="1">
    <field x="10"/>
  </colFields>
  <colItems count="3">
    <i>
      <x/>
    </i>
    <i>
      <x v="1"/>
    </i>
    <i t="grand">
      <x/>
    </i>
  </colItems>
  <dataFields count="1">
    <dataField name="Count of User_ID" fld="0"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17" format="16" series="1">
      <pivotArea type="data" outline="0" fieldPosition="0">
        <references count="2">
          <reference field="4294967294" count="1" selected="0">
            <x v="0"/>
          </reference>
          <reference field="10" count="1" selected="0">
            <x v="0"/>
          </reference>
        </references>
      </pivotArea>
    </chartFormat>
    <chartFormat chart="17" format="17"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FAE8A0-0DE9-417E-BC53-9F023264DFBC}"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D10" firstHeaderRow="1" firstDataRow="2" firstDataCol="1"/>
  <pivotFields count="14">
    <pivotField dataField="1" showAll="0"/>
    <pivotField axis="axisRow" showAll="0">
      <items count="8">
        <item x="0"/>
        <item x="1"/>
        <item x="2"/>
        <item x="3"/>
        <item x="4"/>
        <item x="5"/>
        <item x="6"/>
        <item t="default"/>
      </items>
    </pivotField>
    <pivotField showAll="0"/>
    <pivotField showAll="0">
      <items count="6">
        <item x="4"/>
        <item x="3"/>
        <item x="1"/>
        <item x="2"/>
        <item x="0"/>
        <item t="default"/>
      </items>
    </pivotField>
    <pivotField showAll="0">
      <items count="4">
        <item x="1"/>
        <item x="2"/>
        <item x="0"/>
        <item t="default"/>
      </items>
    </pivotField>
    <pivotField showAll="0"/>
    <pivotField showAll="0"/>
    <pivotField showAll="0"/>
    <pivotField showAll="0"/>
    <pivotField showAll="0"/>
    <pivotField axis="axisCol" showAll="0">
      <items count="3">
        <item x="0"/>
        <item x="1"/>
        <item t="default"/>
      </items>
    </pivotField>
    <pivotField showAll="0"/>
    <pivotField showAll="0"/>
    <pivotField showAll="0"/>
  </pivotFields>
  <rowFields count="1">
    <field x="1"/>
  </rowFields>
  <rowItems count="6">
    <i>
      <x v="1"/>
    </i>
    <i>
      <x v="2"/>
    </i>
    <i>
      <x v="3"/>
    </i>
    <i>
      <x v="4"/>
    </i>
    <i>
      <x v="5"/>
    </i>
    <i t="grand">
      <x/>
    </i>
  </rowItems>
  <colFields count="1">
    <field x="10"/>
  </colFields>
  <colItems count="3">
    <i>
      <x/>
    </i>
    <i>
      <x v="1"/>
    </i>
    <i t="grand">
      <x/>
    </i>
  </colItems>
  <dataFields count="1">
    <dataField name="Count of User_ID" fld="0" subtotal="count" baseField="0" baseItem="0"/>
  </dataFields>
  <chartFormats count="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3">
          <reference field="4294967294" count="1" selected="0">
            <x v="0"/>
          </reference>
          <reference field="1" count="1" selected="0">
            <x v="1"/>
          </reference>
          <reference field="10" count="1" selected="0">
            <x v="0"/>
          </reference>
        </references>
      </pivotArea>
    </chartFormat>
    <chartFormat chart="29" format="15" series="1">
      <pivotArea type="data" outline="0" fieldPosition="0">
        <references count="2">
          <reference field="4294967294" count="1" selected="0">
            <x v="0"/>
          </reference>
          <reference field="10" count="1" selected="0">
            <x v="0"/>
          </reference>
        </references>
      </pivotArea>
    </chartFormat>
    <chartFormat chart="29" format="16"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00BED63-C9C0-492D-B78C-D63AD160C0C1}" sourceName="Country">
  <pivotTables>
    <pivotTable tabId="13" name="PivotTable2"/>
    <pivotTable tabId="15" name="PivotTable4"/>
    <pivotTable tabId="14" name="PivotTable3"/>
    <pivotTable tabId="16" name="PivotTable5"/>
    <pivotTable tabId="12" name="PivotTable1"/>
    <pivotTable tabId="17" name="PivotTable1"/>
  </pivotTables>
  <data>
    <tabular pivotCacheId="612824420">
      <items count="5">
        <i x="4" s="1"/>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ier" xr10:uid="{72120447-5001-4182-A4B1-57F2F4A8C645}" sourceName="Subscription_Tier">
  <pivotTables>
    <pivotTable tabId="14" name="PivotTable3"/>
    <pivotTable tabId="15" name="PivotTable4"/>
    <pivotTable tabId="13" name="PivotTable2"/>
    <pivotTable tabId="16" name="PivotTable5"/>
    <pivotTable tabId="12" name="PivotTable1"/>
    <pivotTable tabId="17" name="PivotTable1"/>
  </pivotTables>
  <data>
    <tabular pivotCacheId="612824420">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Status" xr10:uid="{27559B23-8DEE-47F3-8394-DEDA0B431317}" sourceName="Account_Status">
  <pivotTables>
    <pivotTable tabId="15" name="PivotTable4"/>
    <pivotTable tabId="13" name="PivotTable2"/>
    <pivotTable tabId="14" name="PivotTable3"/>
    <pivotTable tabId="16" name="PivotTable5"/>
    <pivotTable tabId="12" name="PivotTable1"/>
    <pivotTable tabId="17" name="PivotTable1"/>
  </pivotTables>
  <data>
    <tabular pivotCacheId="6128244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EDEF6BF-D1F6-43E7-8C01-82EA0F9C4F6B}" cache="Slicer_Country" caption="Country" style="SlicerStyleDark3" rowHeight="234950"/>
  <slicer name="Subscription_Tier" xr10:uid="{95396469-FC2C-4332-8575-1FD6CC1BD4F9}" cache="Slicer_Subscription_Tier" caption="Subscription_Tier" style="SlicerStyleDark3" rowHeight="234950"/>
  <slicer name="Account_Status" xr10:uid="{4DD03CB1-7503-4FE7-B6D5-694DCBC9D6D4}" cache="Slicer_Account_Status" caption="Account_Status"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9CC864-690A-4A78-BCD8-1026F78D4B92}" name="Table1" displayName="Table1" ref="A1:N101" totalsRowShown="0" headerRowDxfId="9">
  <autoFilter ref="A1:N101" xr:uid="{7ECE2725-7F49-4186-A407-230B6A7552D3}"/>
  <tableColumns count="14">
    <tableColumn id="1" xr3:uid="{C9EC8EEF-A5D6-4F76-A7BD-543E2FA2FF0C}" name="User_ID"/>
    <tableColumn id="2" xr3:uid="{51121DB3-C4B6-437D-9328-D0D0562E15BD}" name="Age"/>
    <tableColumn id="3" xr3:uid="{F155D101-3DB7-4EB6-B1FB-561D6A01F11A}" name="Gender"/>
    <tableColumn id="4" xr3:uid="{34D0B546-001A-4988-8C0F-912354FFC014}" name="Country"/>
    <tableColumn id="5" xr3:uid="{2D7ADF77-A638-489D-A28F-E4AE13988B9E}" name="Subscription_Tier"/>
    <tableColumn id="6" xr3:uid="{805D5280-CFBE-4F36-81D1-169228B6F8C5}" name="Monthly_Price_USD"/>
    <tableColumn id="7" xr3:uid="{1084BB5E-5F05-480E-A0D9-46986F5C28AD}" name="Primary_Genre"/>
    <tableColumn id="8" xr3:uid="{25BFFD98-201F-4306-BA06-9BCC331B2AA3}" name="Device_Type"/>
    <tableColumn id="9" xr3:uid="{3CC7F9E9-0AFE-451B-82B4-9AD1D25EC9A1}" name="Monthly_Watch_Hours"/>
    <tableColumn id="10" xr3:uid="{661306CC-E71B-4E01-8A43-8FD6E5EF6D44}" name="Content_Completion_Rate_Pct"/>
    <tableColumn id="11" xr3:uid="{21FFEBB2-20DC-41F8-BEA3-5B764D95278B}" name="Account_Status"/>
    <tableColumn id="12" xr3:uid="{8C0FD684-36B0-4B01-B59A-247FE0AE4693}" name="Engagement_Level">
      <calculatedColumnFormula array="1">_xlfn.IFS(I2&lt;20,"Critical Danger",I2&lt;40,"Low Engagement",TRUE,"Healthy Binger")</calculatedColumnFormula>
    </tableColumn>
    <tableColumn id="13" xr3:uid="{5E2C6011-268A-4CE5-914C-5728797FFFAF}" name="Completion_Tier">
      <calculatedColumnFormula array="1">_xlfn.IFS(J2&lt;30,"Skipper",J2&lt;70,"Casual Watcher",TRUE,"Finisher")</calculatedColumnFormula>
    </tableColumn>
    <tableColumn id="14" xr3:uid="{35DBBDD2-1AAC-4D33-B9EF-8F468BCC8A45}" name="Revenue_Status">
      <calculatedColumnFormula>IF(K2="Churned","Lost Revenue","Active 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A45E9-18FB-4C70-8111-DF581C98A230}">
  <dimension ref="A3:D6"/>
  <sheetViews>
    <sheetView workbookViewId="0">
      <selection activeCell="D9" sqref="D9"/>
    </sheetView>
  </sheetViews>
  <sheetFormatPr defaultRowHeight="14.4" x14ac:dyDescent="0.3"/>
  <cols>
    <col min="1" max="1" width="12.5546875" bestFit="1" customWidth="1"/>
    <col min="2" max="2" width="15.44140625" bestFit="1" customWidth="1"/>
    <col min="3" max="3" width="24.6640625" bestFit="1" customWidth="1"/>
    <col min="4" max="4" width="34.109375" bestFit="1" customWidth="1"/>
    <col min="7" max="7" width="27.6640625" customWidth="1"/>
  </cols>
  <sheetData>
    <row r="3" spans="1:4" x14ac:dyDescent="0.3">
      <c r="A3" s="6" t="s">
        <v>144</v>
      </c>
      <c r="B3" t="s">
        <v>153</v>
      </c>
      <c r="C3" t="s">
        <v>152</v>
      </c>
      <c r="D3" t="s">
        <v>165</v>
      </c>
    </row>
    <row r="4" spans="1:4" x14ac:dyDescent="0.3">
      <c r="A4" s="7" t="s">
        <v>23</v>
      </c>
      <c r="B4" s="33">
        <v>72</v>
      </c>
      <c r="C4" s="33">
        <v>1274.7800000000004</v>
      </c>
      <c r="D4" s="33">
        <v>5279</v>
      </c>
    </row>
    <row r="5" spans="1:4" x14ac:dyDescent="0.3">
      <c r="A5" s="7" t="s">
        <v>22</v>
      </c>
      <c r="B5" s="33">
        <v>28</v>
      </c>
      <c r="C5" s="33">
        <v>340.22000000000014</v>
      </c>
      <c r="D5" s="33">
        <v>667</v>
      </c>
    </row>
    <row r="6" spans="1:4" x14ac:dyDescent="0.3">
      <c r="A6" s="7" t="s">
        <v>145</v>
      </c>
      <c r="B6" s="33">
        <v>100</v>
      </c>
      <c r="C6" s="33">
        <v>1615.0000000000007</v>
      </c>
      <c r="D6" s="33">
        <v>5946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E2725-7F49-4186-A407-230B6A7552D3}">
  <dimension ref="A1:Q101"/>
  <sheetViews>
    <sheetView workbookViewId="0"/>
  </sheetViews>
  <sheetFormatPr defaultRowHeight="14.4" x14ac:dyDescent="0.3"/>
  <cols>
    <col min="1" max="1" width="9.44140625" customWidth="1"/>
    <col min="2" max="2" width="6.109375" customWidth="1"/>
    <col min="3" max="3" width="9" customWidth="1"/>
    <col min="4" max="4" width="14" bestFit="1" customWidth="1"/>
    <col min="5" max="5" width="17.44140625" customWidth="1"/>
    <col min="6" max="6" width="19.77734375" customWidth="1"/>
    <col min="7" max="7" width="15.44140625" customWidth="1"/>
    <col min="8" max="8" width="13.5546875" customWidth="1"/>
    <col min="9" max="9" width="22.44140625" customWidth="1"/>
    <col min="10" max="10" width="28.88671875" customWidth="1"/>
    <col min="11" max="11" width="16.109375" customWidth="1"/>
    <col min="12" max="12" width="18.77734375" customWidth="1"/>
    <col min="13" max="13" width="16.77734375" customWidth="1"/>
    <col min="14" max="14" width="16.44140625" customWidth="1"/>
    <col min="16" max="16" width="25.21875" bestFit="1" customWidth="1"/>
    <col min="17" max="17" width="13.109375" customWidth="1"/>
  </cols>
  <sheetData>
    <row r="1" spans="1:17" x14ac:dyDescent="0.3">
      <c r="A1" s="1" t="s">
        <v>0</v>
      </c>
      <c r="B1" s="1" t="s">
        <v>1</v>
      </c>
      <c r="C1" s="1" t="s">
        <v>2</v>
      </c>
      <c r="D1" s="1" t="s">
        <v>24</v>
      </c>
      <c r="E1" s="1" t="s">
        <v>7</v>
      </c>
      <c r="F1" s="1" t="s">
        <v>25</v>
      </c>
      <c r="G1" s="1" t="s">
        <v>4</v>
      </c>
      <c r="H1" s="1" t="s">
        <v>3</v>
      </c>
      <c r="I1" s="1" t="s">
        <v>5</v>
      </c>
      <c r="J1" s="1" t="s">
        <v>6</v>
      </c>
      <c r="K1" s="1" t="s">
        <v>26</v>
      </c>
      <c r="L1" s="1" t="s">
        <v>134</v>
      </c>
      <c r="M1" s="1" t="s">
        <v>133</v>
      </c>
      <c r="N1" s="1" t="s">
        <v>135</v>
      </c>
      <c r="P1" s="3" t="s">
        <v>136</v>
      </c>
      <c r="Q1" s="3" t="s">
        <v>137</v>
      </c>
    </row>
    <row r="2" spans="1:17" x14ac:dyDescent="0.3">
      <c r="A2" t="s">
        <v>27</v>
      </c>
      <c r="B2">
        <v>28</v>
      </c>
      <c r="C2" t="s">
        <v>8</v>
      </c>
      <c r="D2" t="s">
        <v>28</v>
      </c>
      <c r="E2" t="s">
        <v>19</v>
      </c>
      <c r="F2">
        <v>15.49</v>
      </c>
      <c r="G2" t="s">
        <v>18</v>
      </c>
      <c r="H2" t="s">
        <v>11</v>
      </c>
      <c r="I2">
        <v>45</v>
      </c>
      <c r="J2">
        <v>78</v>
      </c>
      <c r="K2" t="s">
        <v>23</v>
      </c>
      <c r="L2" t="str" cm="1">
        <f t="array" ref="L2">_xlfn.IFS(I2&lt;20,"Critical Danger",I2&lt;40,"Low Engagement",TRUE,"Healthy Binger")</f>
        <v>Healthy Binger</v>
      </c>
      <c r="M2" t="str" cm="1">
        <f t="array" ref="M2">_xlfn.IFS(J2&lt;30,"Skipper",J2&lt;70,"Casual Watcher",TRUE,"Finisher")</f>
        <v>Finisher</v>
      </c>
      <c r="N2" t="str">
        <f>IF(K2="Churned","Lost Revenue","Active Revenue")</f>
        <v>Active Revenue</v>
      </c>
      <c r="P2" t="s">
        <v>138</v>
      </c>
      <c r="Q2" s="2">
        <f>SUMIF(K:K,"Churned",F:F)</f>
        <v>340.22000000000014</v>
      </c>
    </row>
    <row r="3" spans="1:17" x14ac:dyDescent="0.3">
      <c r="A3" t="s">
        <v>29</v>
      </c>
      <c r="B3">
        <v>42</v>
      </c>
      <c r="C3" t="s">
        <v>9</v>
      </c>
      <c r="D3" t="s">
        <v>30</v>
      </c>
      <c r="E3" t="s">
        <v>21</v>
      </c>
      <c r="F3">
        <v>9.99</v>
      </c>
      <c r="G3" t="s">
        <v>14</v>
      </c>
      <c r="H3" t="s">
        <v>10</v>
      </c>
      <c r="I3">
        <v>12</v>
      </c>
      <c r="J3">
        <v>31</v>
      </c>
      <c r="K3" t="s">
        <v>22</v>
      </c>
      <c r="L3" t="str" cm="1">
        <f t="array" ref="L3">_xlfn.IFS(I3&lt;20,"Critical Danger",I3&lt;40,"Low Engagement",TRUE,"Healthy Binger")</f>
        <v>Critical Danger</v>
      </c>
      <c r="M3" t="str" cm="1">
        <f t="array" ref="M3">_xlfn.IFS(J3&lt;30,"Skipper",J3&lt;70,"Casual Watcher",TRUE,"Finisher")</f>
        <v>Casual Watcher</v>
      </c>
      <c r="N3" t="str">
        <f t="shared" ref="N3:N66" si="0">IF(K3="Churned","Lost Revenue","Active Revenue")</f>
        <v>Lost Revenue</v>
      </c>
      <c r="P3" t="s">
        <v>139</v>
      </c>
      <c r="Q3" s="2">
        <f>SUMIF(K:K,"Active",F:F)</f>
        <v>1274.7800000000004</v>
      </c>
    </row>
    <row r="4" spans="1:17" x14ac:dyDescent="0.3">
      <c r="A4" t="s">
        <v>31</v>
      </c>
      <c r="B4">
        <v>35</v>
      </c>
      <c r="C4" t="s">
        <v>8</v>
      </c>
      <c r="D4" t="s">
        <v>32</v>
      </c>
      <c r="E4" t="s">
        <v>20</v>
      </c>
      <c r="F4">
        <v>22.99</v>
      </c>
      <c r="G4" t="s">
        <v>16</v>
      </c>
      <c r="H4" t="s">
        <v>13</v>
      </c>
      <c r="I4">
        <v>62</v>
      </c>
      <c r="J4">
        <v>89</v>
      </c>
      <c r="K4" t="s">
        <v>23</v>
      </c>
      <c r="L4" t="str" cm="1">
        <f t="array" ref="L4">_xlfn.IFS(I4&lt;20,"Critical Danger",I4&lt;40,"Low Engagement",TRUE,"Healthy Binger")</f>
        <v>Healthy Binger</v>
      </c>
      <c r="M4" t="str" cm="1">
        <f t="array" ref="M4">_xlfn.IFS(J4&lt;30,"Skipper",J4&lt;70,"Casual Watcher",TRUE,"Finisher")</f>
        <v>Finisher</v>
      </c>
      <c r="N4" t="str">
        <f t="shared" si="0"/>
        <v>Active Revenue</v>
      </c>
    </row>
    <row r="5" spans="1:17" x14ac:dyDescent="0.3">
      <c r="A5" t="s">
        <v>33</v>
      </c>
      <c r="B5">
        <v>19</v>
      </c>
      <c r="C5" t="s">
        <v>9</v>
      </c>
      <c r="D5" t="s">
        <v>34</v>
      </c>
      <c r="E5" t="s">
        <v>21</v>
      </c>
      <c r="F5">
        <v>9.99</v>
      </c>
      <c r="G5" t="s">
        <v>15</v>
      </c>
      <c r="H5" t="s">
        <v>12</v>
      </c>
      <c r="I5">
        <v>8</v>
      </c>
      <c r="J5">
        <v>15</v>
      </c>
      <c r="K5" t="s">
        <v>22</v>
      </c>
      <c r="L5" t="str" cm="1">
        <f t="array" ref="L5">_xlfn.IFS(I5&lt;20,"Critical Danger",I5&lt;40,"Low Engagement",TRUE,"Healthy Binger")</f>
        <v>Critical Danger</v>
      </c>
      <c r="M5" t="str" cm="1">
        <f t="array" ref="M5">_xlfn.IFS(J5&lt;30,"Skipper",J5&lt;70,"Casual Watcher",TRUE,"Finisher")</f>
        <v>Skipper</v>
      </c>
      <c r="N5" t="str">
        <f t="shared" si="0"/>
        <v>Lost Revenue</v>
      </c>
      <c r="P5" s="4" t="s">
        <v>4</v>
      </c>
      <c r="Q5" s="4" t="s">
        <v>140</v>
      </c>
    </row>
    <row r="6" spans="1:17" x14ac:dyDescent="0.3">
      <c r="A6" t="s">
        <v>35</v>
      </c>
      <c r="B6">
        <v>51</v>
      </c>
      <c r="C6" t="s">
        <v>8</v>
      </c>
      <c r="D6" t="s">
        <v>36</v>
      </c>
      <c r="E6" t="s">
        <v>19</v>
      </c>
      <c r="F6">
        <v>15.49</v>
      </c>
      <c r="G6" t="s">
        <v>17</v>
      </c>
      <c r="H6" t="s">
        <v>11</v>
      </c>
      <c r="I6">
        <v>31</v>
      </c>
      <c r="J6">
        <v>65</v>
      </c>
      <c r="K6" t="s">
        <v>23</v>
      </c>
      <c r="L6" t="str" cm="1">
        <f t="array" ref="L6">_xlfn.IFS(I6&lt;20,"Critical Danger",I6&lt;40,"Low Engagement",TRUE,"Healthy Binger")</f>
        <v>Low Engagement</v>
      </c>
      <c r="M6" t="str" cm="1">
        <f t="array" ref="M6">_xlfn.IFS(J6&lt;30,"Skipper",J6&lt;70,"Casual Watcher",TRUE,"Finisher")</f>
        <v>Casual Watcher</v>
      </c>
      <c r="N6" t="str">
        <f t="shared" si="0"/>
        <v>Active Revenue</v>
      </c>
      <c r="P6" t="s">
        <v>18</v>
      </c>
      <c r="Q6">
        <f>COUNTIFS(G:G,P6,M:M,"Finisher")</f>
        <v>16</v>
      </c>
    </row>
    <row r="7" spans="1:17" x14ac:dyDescent="0.3">
      <c r="A7" t="s">
        <v>37</v>
      </c>
      <c r="B7">
        <v>24</v>
      </c>
      <c r="C7" t="s">
        <v>9</v>
      </c>
      <c r="D7" t="s">
        <v>28</v>
      </c>
      <c r="E7" t="s">
        <v>20</v>
      </c>
      <c r="F7">
        <v>22.99</v>
      </c>
      <c r="G7" t="s">
        <v>38</v>
      </c>
      <c r="H7" t="s">
        <v>11</v>
      </c>
      <c r="I7">
        <v>55</v>
      </c>
      <c r="J7">
        <v>82</v>
      </c>
      <c r="K7" t="s">
        <v>23</v>
      </c>
      <c r="L7" t="str" cm="1">
        <f t="array" ref="L7">_xlfn.IFS(I7&lt;20,"Critical Danger",I7&lt;40,"Low Engagement",TRUE,"Healthy Binger")</f>
        <v>Healthy Binger</v>
      </c>
      <c r="M7" t="str" cm="1">
        <f t="array" ref="M7">_xlfn.IFS(J7&lt;30,"Skipper",J7&lt;70,"Casual Watcher",TRUE,"Finisher")</f>
        <v>Finisher</v>
      </c>
      <c r="N7" t="str">
        <f t="shared" si="0"/>
        <v>Active Revenue</v>
      </c>
      <c r="P7" t="s">
        <v>14</v>
      </c>
      <c r="Q7">
        <f t="shared" ref="Q7:Q11" si="1">COUNTIFS(G:G,P7,M:M,"Finisher")</f>
        <v>12</v>
      </c>
    </row>
    <row r="8" spans="1:17" x14ac:dyDescent="0.3">
      <c r="A8" t="s">
        <v>39</v>
      </c>
      <c r="B8">
        <v>31</v>
      </c>
      <c r="C8" t="s">
        <v>8</v>
      </c>
      <c r="D8" t="s">
        <v>30</v>
      </c>
      <c r="E8" t="s">
        <v>19</v>
      </c>
      <c r="F8">
        <v>15.49</v>
      </c>
      <c r="G8" t="s">
        <v>14</v>
      </c>
      <c r="H8" t="s">
        <v>10</v>
      </c>
      <c r="I8">
        <v>18</v>
      </c>
      <c r="J8">
        <v>40</v>
      </c>
      <c r="K8" t="s">
        <v>22</v>
      </c>
      <c r="L8" t="str" cm="1">
        <f t="array" ref="L8">_xlfn.IFS(I8&lt;20,"Critical Danger",I8&lt;40,"Low Engagement",TRUE,"Healthy Binger")</f>
        <v>Critical Danger</v>
      </c>
      <c r="M8" t="str" cm="1">
        <f t="array" ref="M8">_xlfn.IFS(J8&lt;30,"Skipper",J8&lt;70,"Casual Watcher",TRUE,"Finisher")</f>
        <v>Casual Watcher</v>
      </c>
      <c r="N8" t="str">
        <f t="shared" si="0"/>
        <v>Lost Revenue</v>
      </c>
      <c r="P8" t="s">
        <v>16</v>
      </c>
      <c r="Q8">
        <f t="shared" si="1"/>
        <v>4</v>
      </c>
    </row>
    <row r="9" spans="1:17" x14ac:dyDescent="0.3">
      <c r="A9" t="s">
        <v>40</v>
      </c>
      <c r="B9">
        <v>45</v>
      </c>
      <c r="C9" t="s">
        <v>9</v>
      </c>
      <c r="D9" t="s">
        <v>32</v>
      </c>
      <c r="E9" t="s">
        <v>21</v>
      </c>
      <c r="F9">
        <v>9.99</v>
      </c>
      <c r="G9" t="s">
        <v>18</v>
      </c>
      <c r="H9" t="s">
        <v>13</v>
      </c>
      <c r="I9">
        <v>22</v>
      </c>
      <c r="J9">
        <v>50</v>
      </c>
      <c r="K9" t="s">
        <v>23</v>
      </c>
      <c r="L9" t="str" cm="1">
        <f t="array" ref="L9">_xlfn.IFS(I9&lt;20,"Critical Danger",I9&lt;40,"Low Engagement",TRUE,"Healthy Binger")</f>
        <v>Low Engagement</v>
      </c>
      <c r="M9" t="str" cm="1">
        <f t="array" ref="M9">_xlfn.IFS(J9&lt;30,"Skipper",J9&lt;70,"Casual Watcher",TRUE,"Finisher")</f>
        <v>Casual Watcher</v>
      </c>
      <c r="N9" t="str">
        <f t="shared" si="0"/>
        <v>Active Revenue</v>
      </c>
      <c r="P9" t="s">
        <v>15</v>
      </c>
      <c r="Q9">
        <f t="shared" si="1"/>
        <v>16</v>
      </c>
    </row>
    <row r="10" spans="1:17" x14ac:dyDescent="0.3">
      <c r="A10" t="s">
        <v>41</v>
      </c>
      <c r="B10">
        <v>29</v>
      </c>
      <c r="C10" t="s">
        <v>8</v>
      </c>
      <c r="D10" t="s">
        <v>34</v>
      </c>
      <c r="E10" t="s">
        <v>20</v>
      </c>
      <c r="F10">
        <v>22.99</v>
      </c>
      <c r="G10" t="s">
        <v>15</v>
      </c>
      <c r="H10" t="s">
        <v>11</v>
      </c>
      <c r="I10">
        <v>48</v>
      </c>
      <c r="J10">
        <v>75</v>
      </c>
      <c r="K10" t="s">
        <v>23</v>
      </c>
      <c r="L10" t="str" cm="1">
        <f t="array" ref="L10">_xlfn.IFS(I10&lt;20,"Critical Danger",I10&lt;40,"Low Engagement",TRUE,"Healthy Binger")</f>
        <v>Healthy Binger</v>
      </c>
      <c r="M10" t="str" cm="1">
        <f t="array" ref="M10">_xlfn.IFS(J10&lt;30,"Skipper",J10&lt;70,"Casual Watcher",TRUE,"Finisher")</f>
        <v>Finisher</v>
      </c>
      <c r="N10" t="str">
        <f t="shared" si="0"/>
        <v>Active Revenue</v>
      </c>
      <c r="P10" t="s">
        <v>17</v>
      </c>
      <c r="Q10">
        <f t="shared" si="1"/>
        <v>0</v>
      </c>
    </row>
    <row r="11" spans="1:17" x14ac:dyDescent="0.3">
      <c r="A11" t="s">
        <v>42</v>
      </c>
      <c r="B11">
        <v>38</v>
      </c>
      <c r="C11" t="s">
        <v>9</v>
      </c>
      <c r="D11" t="s">
        <v>36</v>
      </c>
      <c r="E11" t="s">
        <v>19</v>
      </c>
      <c r="F11">
        <v>15.49</v>
      </c>
      <c r="G11" t="s">
        <v>16</v>
      </c>
      <c r="H11" t="s">
        <v>12</v>
      </c>
      <c r="I11">
        <v>14</v>
      </c>
      <c r="J11">
        <v>28</v>
      </c>
      <c r="K11" t="s">
        <v>22</v>
      </c>
      <c r="L11" t="str" cm="1">
        <f t="array" ref="L11">_xlfn.IFS(I11&lt;20,"Critical Danger",I11&lt;40,"Low Engagement",TRUE,"Healthy Binger")</f>
        <v>Critical Danger</v>
      </c>
      <c r="M11" t="str" cm="1">
        <f t="array" ref="M11">_xlfn.IFS(J11&lt;30,"Skipper",J11&lt;70,"Casual Watcher",TRUE,"Finisher")</f>
        <v>Skipper</v>
      </c>
      <c r="N11" t="str">
        <f t="shared" si="0"/>
        <v>Lost Revenue</v>
      </c>
      <c r="P11" t="s">
        <v>38</v>
      </c>
      <c r="Q11">
        <f t="shared" si="1"/>
        <v>1</v>
      </c>
    </row>
    <row r="12" spans="1:17" x14ac:dyDescent="0.3">
      <c r="A12" t="s">
        <v>43</v>
      </c>
      <c r="B12">
        <v>22</v>
      </c>
      <c r="C12" t="s">
        <v>8</v>
      </c>
      <c r="D12" t="s">
        <v>28</v>
      </c>
      <c r="E12" t="s">
        <v>21</v>
      </c>
      <c r="F12">
        <v>9.99</v>
      </c>
      <c r="G12" t="s">
        <v>38</v>
      </c>
      <c r="H12" t="s">
        <v>10</v>
      </c>
      <c r="I12">
        <v>25</v>
      </c>
      <c r="J12">
        <v>60</v>
      </c>
      <c r="K12" t="s">
        <v>23</v>
      </c>
      <c r="L12" t="str" cm="1">
        <f t="array" ref="L12">_xlfn.IFS(I12&lt;20,"Critical Danger",I12&lt;40,"Low Engagement",TRUE,"Healthy Binger")</f>
        <v>Low Engagement</v>
      </c>
      <c r="M12" t="str" cm="1">
        <f t="array" ref="M12">_xlfn.IFS(J12&lt;30,"Skipper",J12&lt;70,"Casual Watcher",TRUE,"Finisher")</f>
        <v>Casual Watcher</v>
      </c>
      <c r="N12" t="str">
        <f t="shared" si="0"/>
        <v>Active Revenue</v>
      </c>
    </row>
    <row r="13" spans="1:17" x14ac:dyDescent="0.3">
      <c r="A13" t="s">
        <v>44</v>
      </c>
      <c r="B13">
        <v>47</v>
      </c>
      <c r="C13" t="s">
        <v>9</v>
      </c>
      <c r="D13" t="s">
        <v>30</v>
      </c>
      <c r="E13" t="s">
        <v>20</v>
      </c>
      <c r="F13">
        <v>22.99</v>
      </c>
      <c r="G13" t="s">
        <v>18</v>
      </c>
      <c r="H13" t="s">
        <v>11</v>
      </c>
      <c r="I13">
        <v>70</v>
      </c>
      <c r="J13">
        <v>91</v>
      </c>
      <c r="K13" t="s">
        <v>23</v>
      </c>
      <c r="L13" t="str" cm="1">
        <f t="array" ref="L13">_xlfn.IFS(I13&lt;20,"Critical Danger",I13&lt;40,"Low Engagement",TRUE,"Healthy Binger")</f>
        <v>Healthy Binger</v>
      </c>
      <c r="M13" t="str" cm="1">
        <f t="array" ref="M13">_xlfn.IFS(J13&lt;30,"Skipper",J13&lt;70,"Casual Watcher",TRUE,"Finisher")</f>
        <v>Finisher</v>
      </c>
      <c r="N13" t="str">
        <f t="shared" si="0"/>
        <v>Active Revenue</v>
      </c>
    </row>
    <row r="14" spans="1:17" x14ac:dyDescent="0.3">
      <c r="A14" t="s">
        <v>45</v>
      </c>
      <c r="B14">
        <v>33</v>
      </c>
      <c r="C14" t="s">
        <v>8</v>
      </c>
      <c r="D14" t="s">
        <v>32</v>
      </c>
      <c r="E14" t="s">
        <v>19</v>
      </c>
      <c r="F14">
        <v>15.49</v>
      </c>
      <c r="G14" t="s">
        <v>14</v>
      </c>
      <c r="H14" t="s">
        <v>13</v>
      </c>
      <c r="I14">
        <v>40</v>
      </c>
      <c r="J14">
        <v>71</v>
      </c>
      <c r="K14" t="s">
        <v>23</v>
      </c>
      <c r="L14" t="str" cm="1">
        <f t="array" ref="L14">_xlfn.IFS(I14&lt;20,"Critical Danger",I14&lt;40,"Low Engagement",TRUE,"Healthy Binger")</f>
        <v>Healthy Binger</v>
      </c>
      <c r="M14" t="str" cm="1">
        <f t="array" ref="M14">_xlfn.IFS(J14&lt;30,"Skipper",J14&lt;70,"Casual Watcher",TRUE,"Finisher")</f>
        <v>Finisher</v>
      </c>
      <c r="N14" t="str">
        <f t="shared" si="0"/>
        <v>Active Revenue</v>
      </c>
      <c r="P14" s="1" t="s">
        <v>141</v>
      </c>
      <c r="Q14">
        <f>COUNTIF(Table1[Account_Status],"Active")</f>
        <v>72</v>
      </c>
    </row>
    <row r="15" spans="1:17" x14ac:dyDescent="0.3">
      <c r="A15" t="s">
        <v>46</v>
      </c>
      <c r="B15">
        <v>60</v>
      </c>
      <c r="C15" t="s">
        <v>9</v>
      </c>
      <c r="D15" t="s">
        <v>34</v>
      </c>
      <c r="E15" t="s">
        <v>21</v>
      </c>
      <c r="F15">
        <v>9.99</v>
      </c>
      <c r="G15" t="s">
        <v>17</v>
      </c>
      <c r="H15" t="s">
        <v>12</v>
      </c>
      <c r="I15">
        <v>5</v>
      </c>
      <c r="J15">
        <v>10</v>
      </c>
      <c r="K15" t="s">
        <v>22</v>
      </c>
      <c r="L15" t="str" cm="1">
        <f t="array" ref="L15">_xlfn.IFS(I15&lt;20,"Critical Danger",I15&lt;40,"Low Engagement",TRUE,"Healthy Binger")</f>
        <v>Critical Danger</v>
      </c>
      <c r="M15" t="str" cm="1">
        <f t="array" ref="M15">_xlfn.IFS(J15&lt;30,"Skipper",J15&lt;70,"Casual Watcher",TRUE,"Finisher")</f>
        <v>Skipper</v>
      </c>
      <c r="N15" t="str">
        <f t="shared" si="0"/>
        <v>Lost Revenue</v>
      </c>
    </row>
    <row r="16" spans="1:17" x14ac:dyDescent="0.3">
      <c r="A16" t="s">
        <v>47</v>
      </c>
      <c r="B16">
        <v>26</v>
      </c>
      <c r="C16" t="s">
        <v>8</v>
      </c>
      <c r="D16" t="s">
        <v>36</v>
      </c>
      <c r="E16" t="s">
        <v>20</v>
      </c>
      <c r="F16">
        <v>22.99</v>
      </c>
      <c r="G16" t="s">
        <v>15</v>
      </c>
      <c r="H16" t="s">
        <v>11</v>
      </c>
      <c r="I16">
        <v>52</v>
      </c>
      <c r="J16">
        <v>85</v>
      </c>
      <c r="K16" t="s">
        <v>23</v>
      </c>
      <c r="L16" t="str" cm="1">
        <f t="array" ref="L16">_xlfn.IFS(I16&lt;20,"Critical Danger",I16&lt;40,"Low Engagement",TRUE,"Healthy Binger")</f>
        <v>Healthy Binger</v>
      </c>
      <c r="M16" t="str" cm="1">
        <f t="array" ref="M16">_xlfn.IFS(J16&lt;30,"Skipper",J16&lt;70,"Casual Watcher",TRUE,"Finisher")</f>
        <v>Finisher</v>
      </c>
      <c r="N16" t="str">
        <f t="shared" si="0"/>
        <v>Active Revenue</v>
      </c>
      <c r="P16" s="1" t="s">
        <v>142</v>
      </c>
      <c r="Q16" s="5">
        <f>COUNTIF(K:K,"Churned")/COUNTA(A:A)</f>
        <v>0.27722772277227725</v>
      </c>
    </row>
    <row r="17" spans="1:17" x14ac:dyDescent="0.3">
      <c r="A17" t="s">
        <v>48</v>
      </c>
      <c r="B17">
        <v>41</v>
      </c>
      <c r="C17" t="s">
        <v>9</v>
      </c>
      <c r="D17" t="s">
        <v>28</v>
      </c>
      <c r="E17" t="s">
        <v>19</v>
      </c>
      <c r="F17">
        <v>15.49</v>
      </c>
      <c r="G17" t="s">
        <v>16</v>
      </c>
      <c r="H17" t="s">
        <v>10</v>
      </c>
      <c r="I17">
        <v>16</v>
      </c>
      <c r="J17">
        <v>33</v>
      </c>
      <c r="K17" t="s">
        <v>22</v>
      </c>
      <c r="L17" t="str" cm="1">
        <f t="array" ref="L17">_xlfn.IFS(I17&lt;20,"Critical Danger",I17&lt;40,"Low Engagement",TRUE,"Healthy Binger")</f>
        <v>Critical Danger</v>
      </c>
      <c r="M17" t="str" cm="1">
        <f t="array" ref="M17">_xlfn.IFS(J17&lt;30,"Skipper",J17&lt;70,"Casual Watcher",TRUE,"Finisher")</f>
        <v>Casual Watcher</v>
      </c>
      <c r="N17" t="str">
        <f t="shared" si="0"/>
        <v>Lost Revenue</v>
      </c>
    </row>
    <row r="18" spans="1:17" x14ac:dyDescent="0.3">
      <c r="A18" t="s">
        <v>49</v>
      </c>
      <c r="B18">
        <v>30</v>
      </c>
      <c r="C18" t="s">
        <v>8</v>
      </c>
      <c r="D18" t="s">
        <v>30</v>
      </c>
      <c r="E18" t="s">
        <v>21</v>
      </c>
      <c r="F18">
        <v>9.99</v>
      </c>
      <c r="G18" t="s">
        <v>38</v>
      </c>
      <c r="H18" t="s">
        <v>13</v>
      </c>
      <c r="I18">
        <v>20</v>
      </c>
      <c r="J18">
        <v>48</v>
      </c>
      <c r="K18" t="s">
        <v>23</v>
      </c>
      <c r="L18" t="str" cm="1">
        <f t="array" ref="L18">_xlfn.IFS(I18&lt;20,"Critical Danger",I18&lt;40,"Low Engagement",TRUE,"Healthy Binger")</f>
        <v>Low Engagement</v>
      </c>
      <c r="M18" t="str" cm="1">
        <f t="array" ref="M18">_xlfn.IFS(J18&lt;30,"Skipper",J18&lt;70,"Casual Watcher",TRUE,"Finisher")</f>
        <v>Casual Watcher</v>
      </c>
      <c r="N18" t="str">
        <f t="shared" si="0"/>
        <v>Active Revenue</v>
      </c>
      <c r="P18" s="1" t="s">
        <v>143</v>
      </c>
      <c r="Q18" s="2">
        <f>Q2</f>
        <v>340.22000000000014</v>
      </c>
    </row>
    <row r="19" spans="1:17" x14ac:dyDescent="0.3">
      <c r="A19" t="s">
        <v>50</v>
      </c>
      <c r="B19">
        <v>55</v>
      </c>
      <c r="C19" t="s">
        <v>9</v>
      </c>
      <c r="D19" t="s">
        <v>32</v>
      </c>
      <c r="E19" t="s">
        <v>20</v>
      </c>
      <c r="F19">
        <v>22.99</v>
      </c>
      <c r="G19" t="s">
        <v>18</v>
      </c>
      <c r="H19" t="s">
        <v>11</v>
      </c>
      <c r="I19">
        <v>65</v>
      </c>
      <c r="J19">
        <v>88</v>
      </c>
      <c r="K19" t="s">
        <v>23</v>
      </c>
      <c r="L19" t="str" cm="1">
        <f t="array" ref="L19">_xlfn.IFS(I19&lt;20,"Critical Danger",I19&lt;40,"Low Engagement",TRUE,"Healthy Binger")</f>
        <v>Healthy Binger</v>
      </c>
      <c r="M19" t="str" cm="1">
        <f t="array" ref="M19">_xlfn.IFS(J19&lt;30,"Skipper",J19&lt;70,"Casual Watcher",TRUE,"Finisher")</f>
        <v>Finisher</v>
      </c>
      <c r="N19" t="str">
        <f t="shared" si="0"/>
        <v>Active Revenue</v>
      </c>
    </row>
    <row r="20" spans="1:17" x14ac:dyDescent="0.3">
      <c r="A20" t="s">
        <v>51</v>
      </c>
      <c r="B20">
        <v>23</v>
      </c>
      <c r="C20" t="s">
        <v>8</v>
      </c>
      <c r="D20" t="s">
        <v>34</v>
      </c>
      <c r="E20" t="s">
        <v>19</v>
      </c>
      <c r="F20">
        <v>15.49</v>
      </c>
      <c r="G20" t="s">
        <v>14</v>
      </c>
      <c r="H20" t="s">
        <v>12</v>
      </c>
      <c r="I20">
        <v>38</v>
      </c>
      <c r="J20">
        <v>69</v>
      </c>
      <c r="K20" t="s">
        <v>23</v>
      </c>
      <c r="L20" t="str" cm="1">
        <f t="array" ref="L20">_xlfn.IFS(I20&lt;20,"Critical Danger",I20&lt;40,"Low Engagement",TRUE,"Healthy Binger")</f>
        <v>Low Engagement</v>
      </c>
      <c r="M20" t="str" cm="1">
        <f t="array" ref="M20">_xlfn.IFS(J20&lt;30,"Skipper",J20&lt;70,"Casual Watcher",TRUE,"Finisher")</f>
        <v>Casual Watcher</v>
      </c>
      <c r="N20" t="str">
        <f t="shared" si="0"/>
        <v>Active Revenue</v>
      </c>
      <c r="P20" s="1" t="s">
        <v>151</v>
      </c>
      <c r="Q20" s="5">
        <f>AVERAGEIFS(J:J,K:K,"Active")/100</f>
        <v>0.73319444444444448</v>
      </c>
    </row>
    <row r="21" spans="1:17" x14ac:dyDescent="0.3">
      <c r="A21" t="s">
        <v>52</v>
      </c>
      <c r="B21">
        <v>36</v>
      </c>
      <c r="C21" t="s">
        <v>9</v>
      </c>
      <c r="D21" t="s">
        <v>36</v>
      </c>
      <c r="E21" t="s">
        <v>21</v>
      </c>
      <c r="F21">
        <v>9.99</v>
      </c>
      <c r="G21" t="s">
        <v>17</v>
      </c>
      <c r="H21" t="s">
        <v>10</v>
      </c>
      <c r="I21">
        <v>9</v>
      </c>
      <c r="J21">
        <v>18</v>
      </c>
      <c r="K21" t="s">
        <v>22</v>
      </c>
      <c r="L21" t="str" cm="1">
        <f t="array" ref="L21">_xlfn.IFS(I21&lt;20,"Critical Danger",I21&lt;40,"Low Engagement",TRUE,"Healthy Binger")</f>
        <v>Critical Danger</v>
      </c>
      <c r="M21" t="str" cm="1">
        <f t="array" ref="M21">_xlfn.IFS(J21&lt;30,"Skipper",J21&lt;70,"Casual Watcher",TRUE,"Finisher")</f>
        <v>Skipper</v>
      </c>
      <c r="N21" t="str">
        <f t="shared" si="0"/>
        <v>Lost Revenue</v>
      </c>
    </row>
    <row r="22" spans="1:17" x14ac:dyDescent="0.3">
      <c r="A22" t="s">
        <v>53</v>
      </c>
      <c r="B22">
        <v>34</v>
      </c>
      <c r="C22" t="s">
        <v>8</v>
      </c>
      <c r="D22" t="s">
        <v>28</v>
      </c>
      <c r="E22" t="s">
        <v>20</v>
      </c>
      <c r="F22">
        <v>22.99</v>
      </c>
      <c r="G22" t="s">
        <v>15</v>
      </c>
      <c r="H22" t="s">
        <v>11</v>
      </c>
      <c r="I22">
        <v>58</v>
      </c>
      <c r="J22">
        <v>84</v>
      </c>
      <c r="K22" t="s">
        <v>23</v>
      </c>
      <c r="L22" t="str" cm="1">
        <f t="array" ref="L22">_xlfn.IFS(I22&lt;20,"Critical Danger",I22&lt;40,"Low Engagement",TRUE,"Healthy Binger")</f>
        <v>Healthy Binger</v>
      </c>
      <c r="M22" t="str" cm="1">
        <f t="array" ref="M22">_xlfn.IFS(J22&lt;30,"Skipper",J22&lt;70,"Casual Watcher",TRUE,"Finisher")</f>
        <v>Finisher</v>
      </c>
      <c r="N22" t="str">
        <f t="shared" si="0"/>
        <v>Active Revenue</v>
      </c>
    </row>
    <row r="23" spans="1:17" x14ac:dyDescent="0.3">
      <c r="A23" t="s">
        <v>54</v>
      </c>
      <c r="B23">
        <v>50</v>
      </c>
      <c r="C23" t="s">
        <v>9</v>
      </c>
      <c r="D23" t="s">
        <v>30</v>
      </c>
      <c r="E23" t="s">
        <v>19</v>
      </c>
      <c r="F23">
        <v>15.49</v>
      </c>
      <c r="G23" t="s">
        <v>16</v>
      </c>
      <c r="H23" t="s">
        <v>13</v>
      </c>
      <c r="I23">
        <v>42</v>
      </c>
      <c r="J23">
        <v>70</v>
      </c>
      <c r="K23" t="s">
        <v>23</v>
      </c>
      <c r="L23" t="str" cm="1">
        <f t="array" ref="L23">_xlfn.IFS(I23&lt;20,"Critical Danger",I23&lt;40,"Low Engagement",TRUE,"Healthy Binger")</f>
        <v>Healthy Binger</v>
      </c>
      <c r="M23" t="str" cm="1">
        <f t="array" ref="M23">_xlfn.IFS(J23&lt;30,"Skipper",J23&lt;70,"Casual Watcher",TRUE,"Finisher")</f>
        <v>Finisher</v>
      </c>
      <c r="N23" t="str">
        <f t="shared" si="0"/>
        <v>Active Revenue</v>
      </c>
    </row>
    <row r="24" spans="1:17" x14ac:dyDescent="0.3">
      <c r="A24" t="s">
        <v>55</v>
      </c>
      <c r="B24">
        <v>27</v>
      </c>
      <c r="C24" t="s">
        <v>8</v>
      </c>
      <c r="D24" t="s">
        <v>32</v>
      </c>
      <c r="E24" t="s">
        <v>21</v>
      </c>
      <c r="F24">
        <v>9.99</v>
      </c>
      <c r="G24" t="s">
        <v>38</v>
      </c>
      <c r="H24" t="s">
        <v>10</v>
      </c>
      <c r="I24">
        <v>11</v>
      </c>
      <c r="J24">
        <v>25</v>
      </c>
      <c r="K24" t="s">
        <v>22</v>
      </c>
      <c r="L24" t="str" cm="1">
        <f t="array" ref="L24">_xlfn.IFS(I24&lt;20,"Critical Danger",I24&lt;40,"Low Engagement",TRUE,"Healthy Binger")</f>
        <v>Critical Danger</v>
      </c>
      <c r="M24" t="str" cm="1">
        <f t="array" ref="M24">_xlfn.IFS(J24&lt;30,"Skipper",J24&lt;70,"Casual Watcher",TRUE,"Finisher")</f>
        <v>Skipper</v>
      </c>
      <c r="N24" t="str">
        <f t="shared" si="0"/>
        <v>Lost Revenue</v>
      </c>
    </row>
    <row r="25" spans="1:17" x14ac:dyDescent="0.3">
      <c r="A25" t="s">
        <v>56</v>
      </c>
      <c r="B25">
        <v>43</v>
      </c>
      <c r="C25" t="s">
        <v>9</v>
      </c>
      <c r="D25" t="s">
        <v>34</v>
      </c>
      <c r="E25" t="s">
        <v>20</v>
      </c>
      <c r="F25">
        <v>22.99</v>
      </c>
      <c r="G25" t="s">
        <v>18</v>
      </c>
      <c r="H25" t="s">
        <v>12</v>
      </c>
      <c r="I25">
        <v>61</v>
      </c>
      <c r="J25">
        <v>86</v>
      </c>
      <c r="K25" t="s">
        <v>23</v>
      </c>
      <c r="L25" t="str" cm="1">
        <f t="array" ref="L25">_xlfn.IFS(I25&lt;20,"Critical Danger",I25&lt;40,"Low Engagement",TRUE,"Healthy Binger")</f>
        <v>Healthy Binger</v>
      </c>
      <c r="M25" t="str" cm="1">
        <f t="array" ref="M25">_xlfn.IFS(J25&lt;30,"Skipper",J25&lt;70,"Casual Watcher",TRUE,"Finisher")</f>
        <v>Finisher</v>
      </c>
      <c r="N25" t="str">
        <f t="shared" si="0"/>
        <v>Active Revenue</v>
      </c>
    </row>
    <row r="26" spans="1:17" x14ac:dyDescent="0.3">
      <c r="A26" t="s">
        <v>57</v>
      </c>
      <c r="B26">
        <v>32</v>
      </c>
      <c r="C26" t="s">
        <v>8</v>
      </c>
      <c r="D26" t="s">
        <v>36</v>
      </c>
      <c r="E26" t="s">
        <v>19</v>
      </c>
      <c r="F26">
        <v>15.49</v>
      </c>
      <c r="G26" t="s">
        <v>14</v>
      </c>
      <c r="H26" t="s">
        <v>11</v>
      </c>
      <c r="I26">
        <v>44</v>
      </c>
      <c r="J26">
        <v>73</v>
      </c>
      <c r="K26" t="s">
        <v>23</v>
      </c>
      <c r="L26" t="str" cm="1">
        <f t="array" ref="L26">_xlfn.IFS(I26&lt;20,"Critical Danger",I26&lt;40,"Low Engagement",TRUE,"Healthy Binger")</f>
        <v>Healthy Binger</v>
      </c>
      <c r="M26" t="str" cm="1">
        <f t="array" ref="M26">_xlfn.IFS(J26&lt;30,"Skipper",J26&lt;70,"Casual Watcher",TRUE,"Finisher")</f>
        <v>Finisher</v>
      </c>
      <c r="N26" t="str">
        <f t="shared" si="0"/>
        <v>Active Revenue</v>
      </c>
    </row>
    <row r="27" spans="1:17" x14ac:dyDescent="0.3">
      <c r="A27" t="s">
        <v>58</v>
      </c>
      <c r="B27">
        <v>21</v>
      </c>
      <c r="C27" t="s">
        <v>9</v>
      </c>
      <c r="D27" t="s">
        <v>28</v>
      </c>
      <c r="E27" t="s">
        <v>21</v>
      </c>
      <c r="F27">
        <v>9.99</v>
      </c>
      <c r="G27" t="s">
        <v>17</v>
      </c>
      <c r="H27" t="s">
        <v>13</v>
      </c>
      <c r="I27">
        <v>27</v>
      </c>
      <c r="J27">
        <v>55</v>
      </c>
      <c r="K27" t="s">
        <v>23</v>
      </c>
      <c r="L27" t="str" cm="1">
        <f t="array" ref="L27">_xlfn.IFS(I27&lt;20,"Critical Danger",I27&lt;40,"Low Engagement",TRUE,"Healthy Binger")</f>
        <v>Low Engagement</v>
      </c>
      <c r="M27" t="str" cm="1">
        <f t="array" ref="M27">_xlfn.IFS(J27&lt;30,"Skipper",J27&lt;70,"Casual Watcher",TRUE,"Finisher")</f>
        <v>Casual Watcher</v>
      </c>
      <c r="N27" t="str">
        <f t="shared" si="0"/>
        <v>Active Revenue</v>
      </c>
    </row>
    <row r="28" spans="1:17" x14ac:dyDescent="0.3">
      <c r="A28" t="s">
        <v>59</v>
      </c>
      <c r="B28">
        <v>58</v>
      </c>
      <c r="C28" t="s">
        <v>8</v>
      </c>
      <c r="D28" t="s">
        <v>30</v>
      </c>
      <c r="E28" t="s">
        <v>20</v>
      </c>
      <c r="F28">
        <v>22.99</v>
      </c>
      <c r="G28" t="s">
        <v>15</v>
      </c>
      <c r="H28" t="s">
        <v>10</v>
      </c>
      <c r="I28">
        <v>73</v>
      </c>
      <c r="J28">
        <v>95</v>
      </c>
      <c r="K28" t="s">
        <v>23</v>
      </c>
      <c r="L28" t="str" cm="1">
        <f t="array" ref="L28">_xlfn.IFS(I28&lt;20,"Critical Danger",I28&lt;40,"Low Engagement",TRUE,"Healthy Binger")</f>
        <v>Healthy Binger</v>
      </c>
      <c r="M28" t="str" cm="1">
        <f t="array" ref="M28">_xlfn.IFS(J28&lt;30,"Skipper",J28&lt;70,"Casual Watcher",TRUE,"Finisher")</f>
        <v>Finisher</v>
      </c>
      <c r="N28" t="str">
        <f t="shared" si="0"/>
        <v>Active Revenue</v>
      </c>
    </row>
    <row r="29" spans="1:17" x14ac:dyDescent="0.3">
      <c r="A29" t="s">
        <v>60</v>
      </c>
      <c r="B29">
        <v>39</v>
      </c>
      <c r="C29" t="s">
        <v>9</v>
      </c>
      <c r="D29" t="s">
        <v>32</v>
      </c>
      <c r="E29" t="s">
        <v>19</v>
      </c>
      <c r="F29">
        <v>15.49</v>
      </c>
      <c r="G29" t="s">
        <v>16</v>
      </c>
      <c r="H29" t="s">
        <v>11</v>
      </c>
      <c r="I29">
        <v>15</v>
      </c>
      <c r="J29">
        <v>30</v>
      </c>
      <c r="K29" t="s">
        <v>22</v>
      </c>
      <c r="L29" t="str" cm="1">
        <f t="array" ref="L29">_xlfn.IFS(I29&lt;20,"Critical Danger",I29&lt;40,"Low Engagement",TRUE,"Healthy Binger")</f>
        <v>Critical Danger</v>
      </c>
      <c r="M29" t="str" cm="1">
        <f t="array" ref="M29">_xlfn.IFS(J29&lt;30,"Skipper",J29&lt;70,"Casual Watcher",TRUE,"Finisher")</f>
        <v>Casual Watcher</v>
      </c>
      <c r="N29" t="str">
        <f t="shared" si="0"/>
        <v>Lost Revenue</v>
      </c>
    </row>
    <row r="30" spans="1:17" x14ac:dyDescent="0.3">
      <c r="A30" t="s">
        <v>61</v>
      </c>
      <c r="B30">
        <v>25</v>
      </c>
      <c r="C30" t="s">
        <v>8</v>
      </c>
      <c r="D30" t="s">
        <v>34</v>
      </c>
      <c r="E30" t="s">
        <v>21</v>
      </c>
      <c r="F30">
        <v>9.99</v>
      </c>
      <c r="G30" t="s">
        <v>38</v>
      </c>
      <c r="H30" t="s">
        <v>12</v>
      </c>
      <c r="I30">
        <v>19</v>
      </c>
      <c r="J30">
        <v>42</v>
      </c>
      <c r="K30" t="s">
        <v>23</v>
      </c>
      <c r="L30" t="str" cm="1">
        <f t="array" ref="L30">_xlfn.IFS(I30&lt;20,"Critical Danger",I30&lt;40,"Low Engagement",TRUE,"Healthy Binger")</f>
        <v>Critical Danger</v>
      </c>
      <c r="M30" t="str" cm="1">
        <f t="array" ref="M30">_xlfn.IFS(J30&lt;30,"Skipper",J30&lt;70,"Casual Watcher",TRUE,"Finisher")</f>
        <v>Casual Watcher</v>
      </c>
      <c r="N30" t="str">
        <f t="shared" si="0"/>
        <v>Active Revenue</v>
      </c>
    </row>
    <row r="31" spans="1:17" x14ac:dyDescent="0.3">
      <c r="A31" t="s">
        <v>62</v>
      </c>
      <c r="B31">
        <v>48</v>
      </c>
      <c r="C31" t="s">
        <v>9</v>
      </c>
      <c r="D31" t="s">
        <v>36</v>
      </c>
      <c r="E31" t="s">
        <v>20</v>
      </c>
      <c r="F31">
        <v>22.99</v>
      </c>
      <c r="G31" t="s">
        <v>18</v>
      </c>
      <c r="H31" t="s">
        <v>13</v>
      </c>
      <c r="I31">
        <v>66</v>
      </c>
      <c r="J31">
        <v>90</v>
      </c>
      <c r="K31" t="s">
        <v>23</v>
      </c>
      <c r="L31" t="str" cm="1">
        <f t="array" ref="L31">_xlfn.IFS(I31&lt;20,"Critical Danger",I31&lt;40,"Low Engagement",TRUE,"Healthy Binger")</f>
        <v>Healthy Binger</v>
      </c>
      <c r="M31" t="str" cm="1">
        <f t="array" ref="M31">_xlfn.IFS(J31&lt;30,"Skipper",J31&lt;70,"Casual Watcher",TRUE,"Finisher")</f>
        <v>Finisher</v>
      </c>
      <c r="N31" t="str">
        <f t="shared" si="0"/>
        <v>Active Revenue</v>
      </c>
    </row>
    <row r="32" spans="1:17" x14ac:dyDescent="0.3">
      <c r="A32" t="s">
        <v>63</v>
      </c>
      <c r="B32">
        <v>37</v>
      </c>
      <c r="C32" t="s">
        <v>8</v>
      </c>
      <c r="D32" t="s">
        <v>28</v>
      </c>
      <c r="E32" t="s">
        <v>19</v>
      </c>
      <c r="F32">
        <v>15.49</v>
      </c>
      <c r="G32" t="s">
        <v>14</v>
      </c>
      <c r="H32" t="s">
        <v>11</v>
      </c>
      <c r="I32">
        <v>41</v>
      </c>
      <c r="J32">
        <v>74</v>
      </c>
      <c r="K32" t="s">
        <v>23</v>
      </c>
      <c r="L32" t="str" cm="1">
        <f t="array" ref="L32">_xlfn.IFS(I32&lt;20,"Critical Danger",I32&lt;40,"Low Engagement",TRUE,"Healthy Binger")</f>
        <v>Healthy Binger</v>
      </c>
      <c r="M32" t="str" cm="1">
        <f t="array" ref="M32">_xlfn.IFS(J32&lt;30,"Skipper",J32&lt;70,"Casual Watcher",TRUE,"Finisher")</f>
        <v>Finisher</v>
      </c>
      <c r="N32" t="str">
        <f t="shared" si="0"/>
        <v>Active Revenue</v>
      </c>
    </row>
    <row r="33" spans="1:14" x14ac:dyDescent="0.3">
      <c r="A33" t="s">
        <v>64</v>
      </c>
      <c r="B33">
        <v>53</v>
      </c>
      <c r="C33" t="s">
        <v>9</v>
      </c>
      <c r="D33" t="s">
        <v>30</v>
      </c>
      <c r="E33" t="s">
        <v>21</v>
      </c>
      <c r="F33">
        <v>9.99</v>
      </c>
      <c r="G33" t="s">
        <v>17</v>
      </c>
      <c r="H33" t="s">
        <v>10</v>
      </c>
      <c r="I33">
        <v>6</v>
      </c>
      <c r="J33">
        <v>12</v>
      </c>
      <c r="K33" t="s">
        <v>22</v>
      </c>
      <c r="L33" t="str" cm="1">
        <f t="array" ref="L33">_xlfn.IFS(I33&lt;20,"Critical Danger",I33&lt;40,"Low Engagement",TRUE,"Healthy Binger")</f>
        <v>Critical Danger</v>
      </c>
      <c r="M33" t="str" cm="1">
        <f t="array" ref="M33">_xlfn.IFS(J33&lt;30,"Skipper",J33&lt;70,"Casual Watcher",TRUE,"Finisher")</f>
        <v>Skipper</v>
      </c>
      <c r="N33" t="str">
        <f t="shared" si="0"/>
        <v>Lost Revenue</v>
      </c>
    </row>
    <row r="34" spans="1:14" x14ac:dyDescent="0.3">
      <c r="A34" t="s">
        <v>65</v>
      </c>
      <c r="B34">
        <v>29</v>
      </c>
      <c r="C34" t="s">
        <v>8</v>
      </c>
      <c r="D34" t="s">
        <v>32</v>
      </c>
      <c r="E34" t="s">
        <v>20</v>
      </c>
      <c r="F34">
        <v>22.99</v>
      </c>
      <c r="G34" t="s">
        <v>15</v>
      </c>
      <c r="H34" t="s">
        <v>13</v>
      </c>
      <c r="I34">
        <v>50</v>
      </c>
      <c r="J34">
        <v>81</v>
      </c>
      <c r="K34" t="s">
        <v>23</v>
      </c>
      <c r="L34" t="str" cm="1">
        <f t="array" ref="L34">_xlfn.IFS(I34&lt;20,"Critical Danger",I34&lt;40,"Low Engagement",TRUE,"Healthy Binger")</f>
        <v>Healthy Binger</v>
      </c>
      <c r="M34" t="str" cm="1">
        <f t="array" ref="M34">_xlfn.IFS(J34&lt;30,"Skipper",J34&lt;70,"Casual Watcher",TRUE,"Finisher")</f>
        <v>Finisher</v>
      </c>
      <c r="N34" t="str">
        <f t="shared" si="0"/>
        <v>Active Revenue</v>
      </c>
    </row>
    <row r="35" spans="1:14" x14ac:dyDescent="0.3">
      <c r="A35" t="s">
        <v>66</v>
      </c>
      <c r="B35">
        <v>44</v>
      </c>
      <c r="C35" t="s">
        <v>9</v>
      </c>
      <c r="D35" t="s">
        <v>34</v>
      </c>
      <c r="E35" t="s">
        <v>19</v>
      </c>
      <c r="F35">
        <v>15.49</v>
      </c>
      <c r="G35" t="s">
        <v>16</v>
      </c>
      <c r="H35" t="s">
        <v>12</v>
      </c>
      <c r="I35">
        <v>35</v>
      </c>
      <c r="J35">
        <v>63</v>
      </c>
      <c r="K35" t="s">
        <v>23</v>
      </c>
      <c r="L35" t="str" cm="1">
        <f t="array" ref="L35">_xlfn.IFS(I35&lt;20,"Critical Danger",I35&lt;40,"Low Engagement",TRUE,"Healthy Binger")</f>
        <v>Low Engagement</v>
      </c>
      <c r="M35" t="str" cm="1">
        <f t="array" ref="M35">_xlfn.IFS(J35&lt;30,"Skipper",J35&lt;70,"Casual Watcher",TRUE,"Finisher")</f>
        <v>Casual Watcher</v>
      </c>
      <c r="N35" t="str">
        <f t="shared" si="0"/>
        <v>Active Revenue</v>
      </c>
    </row>
    <row r="36" spans="1:14" x14ac:dyDescent="0.3">
      <c r="A36" t="s">
        <v>67</v>
      </c>
      <c r="B36">
        <v>31</v>
      </c>
      <c r="C36" t="s">
        <v>8</v>
      </c>
      <c r="D36" t="s">
        <v>36</v>
      </c>
      <c r="E36" t="s">
        <v>21</v>
      </c>
      <c r="F36">
        <v>9.99</v>
      </c>
      <c r="G36" t="s">
        <v>38</v>
      </c>
      <c r="H36" t="s">
        <v>10</v>
      </c>
      <c r="I36">
        <v>13</v>
      </c>
      <c r="J36">
        <v>29</v>
      </c>
      <c r="K36" t="s">
        <v>22</v>
      </c>
      <c r="L36" t="str" cm="1">
        <f t="array" ref="L36">_xlfn.IFS(I36&lt;20,"Critical Danger",I36&lt;40,"Low Engagement",TRUE,"Healthy Binger")</f>
        <v>Critical Danger</v>
      </c>
      <c r="M36" t="str" cm="1">
        <f t="array" ref="M36">_xlfn.IFS(J36&lt;30,"Skipper",J36&lt;70,"Casual Watcher",TRUE,"Finisher")</f>
        <v>Skipper</v>
      </c>
      <c r="N36" t="str">
        <f t="shared" si="0"/>
        <v>Lost Revenue</v>
      </c>
    </row>
    <row r="37" spans="1:14" x14ac:dyDescent="0.3">
      <c r="A37" t="s">
        <v>68</v>
      </c>
      <c r="B37">
        <v>20</v>
      </c>
      <c r="C37" t="s">
        <v>9</v>
      </c>
      <c r="D37" t="s">
        <v>28</v>
      </c>
      <c r="E37" t="s">
        <v>20</v>
      </c>
      <c r="F37">
        <v>22.99</v>
      </c>
      <c r="G37" t="s">
        <v>18</v>
      </c>
      <c r="H37" t="s">
        <v>11</v>
      </c>
      <c r="I37">
        <v>59</v>
      </c>
      <c r="J37">
        <v>87</v>
      </c>
      <c r="K37" t="s">
        <v>23</v>
      </c>
      <c r="L37" t="str" cm="1">
        <f t="array" ref="L37">_xlfn.IFS(I37&lt;20,"Critical Danger",I37&lt;40,"Low Engagement",TRUE,"Healthy Binger")</f>
        <v>Healthy Binger</v>
      </c>
      <c r="M37" t="str" cm="1">
        <f t="array" ref="M37">_xlfn.IFS(J37&lt;30,"Skipper",J37&lt;70,"Casual Watcher",TRUE,"Finisher")</f>
        <v>Finisher</v>
      </c>
      <c r="N37" t="str">
        <f t="shared" si="0"/>
        <v>Active Revenue</v>
      </c>
    </row>
    <row r="38" spans="1:14" x14ac:dyDescent="0.3">
      <c r="A38" t="s">
        <v>69</v>
      </c>
      <c r="B38">
        <v>56</v>
      </c>
      <c r="C38" t="s">
        <v>8</v>
      </c>
      <c r="D38" t="s">
        <v>30</v>
      </c>
      <c r="E38" t="s">
        <v>19</v>
      </c>
      <c r="F38">
        <v>15.49</v>
      </c>
      <c r="G38" t="s">
        <v>14</v>
      </c>
      <c r="H38" t="s">
        <v>13</v>
      </c>
      <c r="I38">
        <v>46</v>
      </c>
      <c r="J38">
        <v>76</v>
      </c>
      <c r="K38" t="s">
        <v>23</v>
      </c>
      <c r="L38" t="str" cm="1">
        <f t="array" ref="L38">_xlfn.IFS(I38&lt;20,"Critical Danger",I38&lt;40,"Low Engagement",TRUE,"Healthy Binger")</f>
        <v>Healthy Binger</v>
      </c>
      <c r="M38" t="str" cm="1">
        <f t="array" ref="M38">_xlfn.IFS(J38&lt;30,"Skipper",J38&lt;70,"Casual Watcher",TRUE,"Finisher")</f>
        <v>Finisher</v>
      </c>
      <c r="N38" t="str">
        <f t="shared" si="0"/>
        <v>Active Revenue</v>
      </c>
    </row>
    <row r="39" spans="1:14" x14ac:dyDescent="0.3">
      <c r="A39" t="s">
        <v>70</v>
      </c>
      <c r="B39">
        <v>42</v>
      </c>
      <c r="C39" t="s">
        <v>9</v>
      </c>
      <c r="D39" t="s">
        <v>32</v>
      </c>
      <c r="E39" t="s">
        <v>21</v>
      </c>
      <c r="F39">
        <v>9.99</v>
      </c>
      <c r="G39" t="s">
        <v>17</v>
      </c>
      <c r="H39" t="s">
        <v>10</v>
      </c>
      <c r="I39">
        <v>22</v>
      </c>
      <c r="J39">
        <v>49</v>
      </c>
      <c r="K39" t="s">
        <v>23</v>
      </c>
      <c r="L39" t="str" cm="1">
        <f t="array" ref="L39">_xlfn.IFS(I39&lt;20,"Critical Danger",I39&lt;40,"Low Engagement",TRUE,"Healthy Binger")</f>
        <v>Low Engagement</v>
      </c>
      <c r="M39" t="str" cm="1">
        <f t="array" ref="M39">_xlfn.IFS(J39&lt;30,"Skipper",J39&lt;70,"Casual Watcher",TRUE,"Finisher")</f>
        <v>Casual Watcher</v>
      </c>
      <c r="N39" t="str">
        <f t="shared" si="0"/>
        <v>Active Revenue</v>
      </c>
    </row>
    <row r="40" spans="1:14" x14ac:dyDescent="0.3">
      <c r="A40" t="s">
        <v>71</v>
      </c>
      <c r="B40">
        <v>35</v>
      </c>
      <c r="C40" t="s">
        <v>8</v>
      </c>
      <c r="D40" t="s">
        <v>34</v>
      </c>
      <c r="E40" t="s">
        <v>20</v>
      </c>
      <c r="F40">
        <v>22.99</v>
      </c>
      <c r="G40" t="s">
        <v>15</v>
      </c>
      <c r="H40" t="s">
        <v>12</v>
      </c>
      <c r="I40">
        <v>68</v>
      </c>
      <c r="J40">
        <v>92</v>
      </c>
      <c r="K40" t="s">
        <v>23</v>
      </c>
      <c r="L40" t="str" cm="1">
        <f t="array" ref="L40">_xlfn.IFS(I40&lt;20,"Critical Danger",I40&lt;40,"Low Engagement",TRUE,"Healthy Binger")</f>
        <v>Healthy Binger</v>
      </c>
      <c r="M40" t="str" cm="1">
        <f t="array" ref="M40">_xlfn.IFS(J40&lt;30,"Skipper",J40&lt;70,"Casual Watcher",TRUE,"Finisher")</f>
        <v>Finisher</v>
      </c>
      <c r="N40" t="str">
        <f t="shared" si="0"/>
        <v>Active Revenue</v>
      </c>
    </row>
    <row r="41" spans="1:14" x14ac:dyDescent="0.3">
      <c r="A41" t="s">
        <v>72</v>
      </c>
      <c r="B41">
        <v>49</v>
      </c>
      <c r="C41" t="s">
        <v>9</v>
      </c>
      <c r="D41" t="s">
        <v>36</v>
      </c>
      <c r="E41" t="s">
        <v>19</v>
      </c>
      <c r="F41">
        <v>15.49</v>
      </c>
      <c r="G41" t="s">
        <v>16</v>
      </c>
      <c r="H41" t="s">
        <v>11</v>
      </c>
      <c r="I41">
        <v>12</v>
      </c>
      <c r="J41">
        <v>26</v>
      </c>
      <c r="K41" t="s">
        <v>22</v>
      </c>
      <c r="L41" t="str" cm="1">
        <f t="array" ref="L41">_xlfn.IFS(I41&lt;20,"Critical Danger",I41&lt;40,"Low Engagement",TRUE,"Healthy Binger")</f>
        <v>Critical Danger</v>
      </c>
      <c r="M41" t="str" cm="1">
        <f t="array" ref="M41">_xlfn.IFS(J41&lt;30,"Skipper",J41&lt;70,"Casual Watcher",TRUE,"Finisher")</f>
        <v>Skipper</v>
      </c>
      <c r="N41" t="str">
        <f t="shared" si="0"/>
        <v>Lost Revenue</v>
      </c>
    </row>
    <row r="42" spans="1:14" x14ac:dyDescent="0.3">
      <c r="A42" t="s">
        <v>73</v>
      </c>
      <c r="B42">
        <v>28</v>
      </c>
      <c r="C42" t="s">
        <v>8</v>
      </c>
      <c r="D42" t="s">
        <v>28</v>
      </c>
      <c r="E42" t="s">
        <v>21</v>
      </c>
      <c r="F42">
        <v>9.99</v>
      </c>
      <c r="G42" t="s">
        <v>38</v>
      </c>
      <c r="H42" t="s">
        <v>13</v>
      </c>
      <c r="I42">
        <v>24</v>
      </c>
      <c r="J42">
        <v>52</v>
      </c>
      <c r="K42" t="s">
        <v>23</v>
      </c>
      <c r="L42" t="str" cm="1">
        <f t="array" ref="L42">_xlfn.IFS(I42&lt;20,"Critical Danger",I42&lt;40,"Low Engagement",TRUE,"Healthy Binger")</f>
        <v>Low Engagement</v>
      </c>
      <c r="M42" t="str" cm="1">
        <f t="array" ref="M42">_xlfn.IFS(J42&lt;30,"Skipper",J42&lt;70,"Casual Watcher",TRUE,"Finisher")</f>
        <v>Casual Watcher</v>
      </c>
      <c r="N42" t="str">
        <f t="shared" si="0"/>
        <v>Active Revenue</v>
      </c>
    </row>
    <row r="43" spans="1:14" x14ac:dyDescent="0.3">
      <c r="A43" t="s">
        <v>74</v>
      </c>
      <c r="B43">
        <v>46</v>
      </c>
      <c r="C43" t="s">
        <v>9</v>
      </c>
      <c r="D43" t="s">
        <v>30</v>
      </c>
      <c r="E43" t="s">
        <v>20</v>
      </c>
      <c r="F43">
        <v>22.99</v>
      </c>
      <c r="G43" t="s">
        <v>18</v>
      </c>
      <c r="H43" t="s">
        <v>10</v>
      </c>
      <c r="I43">
        <v>64</v>
      </c>
      <c r="J43">
        <v>89</v>
      </c>
      <c r="K43" t="s">
        <v>23</v>
      </c>
      <c r="L43" t="str" cm="1">
        <f t="array" ref="L43">_xlfn.IFS(I43&lt;20,"Critical Danger",I43&lt;40,"Low Engagement",TRUE,"Healthy Binger")</f>
        <v>Healthy Binger</v>
      </c>
      <c r="M43" t="str" cm="1">
        <f t="array" ref="M43">_xlfn.IFS(J43&lt;30,"Skipper",J43&lt;70,"Casual Watcher",TRUE,"Finisher")</f>
        <v>Finisher</v>
      </c>
      <c r="N43" t="str">
        <f t="shared" si="0"/>
        <v>Active Revenue</v>
      </c>
    </row>
    <row r="44" spans="1:14" x14ac:dyDescent="0.3">
      <c r="A44" t="s">
        <v>75</v>
      </c>
      <c r="B44">
        <v>33</v>
      </c>
      <c r="C44" t="s">
        <v>8</v>
      </c>
      <c r="D44" t="s">
        <v>32</v>
      </c>
      <c r="E44" t="s">
        <v>19</v>
      </c>
      <c r="F44">
        <v>15.49</v>
      </c>
      <c r="G44" t="s">
        <v>14</v>
      </c>
      <c r="H44" t="s">
        <v>11</v>
      </c>
      <c r="I44">
        <v>39</v>
      </c>
      <c r="J44">
        <v>72</v>
      </c>
      <c r="K44" t="s">
        <v>23</v>
      </c>
      <c r="L44" t="str" cm="1">
        <f t="array" ref="L44">_xlfn.IFS(I44&lt;20,"Critical Danger",I44&lt;40,"Low Engagement",TRUE,"Healthy Binger")</f>
        <v>Low Engagement</v>
      </c>
      <c r="M44" t="str" cm="1">
        <f t="array" ref="M44">_xlfn.IFS(J44&lt;30,"Skipper",J44&lt;70,"Casual Watcher",TRUE,"Finisher")</f>
        <v>Finisher</v>
      </c>
      <c r="N44" t="str">
        <f t="shared" si="0"/>
        <v>Active Revenue</v>
      </c>
    </row>
    <row r="45" spans="1:14" x14ac:dyDescent="0.3">
      <c r="A45" t="s">
        <v>76</v>
      </c>
      <c r="B45">
        <v>62</v>
      </c>
      <c r="C45" t="s">
        <v>9</v>
      </c>
      <c r="D45" t="s">
        <v>34</v>
      </c>
      <c r="E45" t="s">
        <v>21</v>
      </c>
      <c r="F45">
        <v>9.99</v>
      </c>
      <c r="G45" t="s">
        <v>17</v>
      </c>
      <c r="H45" t="s">
        <v>12</v>
      </c>
      <c r="I45">
        <v>7</v>
      </c>
      <c r="J45">
        <v>14</v>
      </c>
      <c r="K45" t="s">
        <v>22</v>
      </c>
      <c r="L45" t="str" cm="1">
        <f t="array" ref="L45">_xlfn.IFS(I45&lt;20,"Critical Danger",I45&lt;40,"Low Engagement",TRUE,"Healthy Binger")</f>
        <v>Critical Danger</v>
      </c>
      <c r="M45" t="str" cm="1">
        <f t="array" ref="M45">_xlfn.IFS(J45&lt;30,"Skipper",J45&lt;70,"Casual Watcher",TRUE,"Finisher")</f>
        <v>Skipper</v>
      </c>
      <c r="N45" t="str">
        <f t="shared" si="0"/>
        <v>Lost Revenue</v>
      </c>
    </row>
    <row r="46" spans="1:14" x14ac:dyDescent="0.3">
      <c r="A46" t="s">
        <v>77</v>
      </c>
      <c r="B46">
        <v>27</v>
      </c>
      <c r="C46" t="s">
        <v>8</v>
      </c>
      <c r="D46" t="s">
        <v>36</v>
      </c>
      <c r="E46" t="s">
        <v>20</v>
      </c>
      <c r="F46">
        <v>22.99</v>
      </c>
      <c r="G46" t="s">
        <v>15</v>
      </c>
      <c r="H46" t="s">
        <v>13</v>
      </c>
      <c r="I46">
        <v>54</v>
      </c>
      <c r="J46">
        <v>83</v>
      </c>
      <c r="K46" t="s">
        <v>23</v>
      </c>
      <c r="L46" t="str" cm="1">
        <f t="array" ref="L46">_xlfn.IFS(I46&lt;20,"Critical Danger",I46&lt;40,"Low Engagement",TRUE,"Healthy Binger")</f>
        <v>Healthy Binger</v>
      </c>
      <c r="M46" t="str" cm="1">
        <f t="array" ref="M46">_xlfn.IFS(J46&lt;30,"Skipper",J46&lt;70,"Casual Watcher",TRUE,"Finisher")</f>
        <v>Finisher</v>
      </c>
      <c r="N46" t="str">
        <f t="shared" si="0"/>
        <v>Active Revenue</v>
      </c>
    </row>
    <row r="47" spans="1:14" x14ac:dyDescent="0.3">
      <c r="A47" t="s">
        <v>78</v>
      </c>
      <c r="B47">
        <v>40</v>
      </c>
      <c r="C47" t="s">
        <v>9</v>
      </c>
      <c r="D47" t="s">
        <v>28</v>
      </c>
      <c r="E47" t="s">
        <v>19</v>
      </c>
      <c r="F47">
        <v>15.49</v>
      </c>
      <c r="G47" t="s">
        <v>16</v>
      </c>
      <c r="H47" t="s">
        <v>10</v>
      </c>
      <c r="I47">
        <v>17</v>
      </c>
      <c r="J47">
        <v>35</v>
      </c>
      <c r="K47" t="s">
        <v>22</v>
      </c>
      <c r="L47" t="str" cm="1">
        <f t="array" ref="L47">_xlfn.IFS(I47&lt;20,"Critical Danger",I47&lt;40,"Low Engagement",TRUE,"Healthy Binger")</f>
        <v>Critical Danger</v>
      </c>
      <c r="M47" t="str" cm="1">
        <f t="array" ref="M47">_xlfn.IFS(J47&lt;30,"Skipper",J47&lt;70,"Casual Watcher",TRUE,"Finisher")</f>
        <v>Casual Watcher</v>
      </c>
      <c r="N47" t="str">
        <f t="shared" si="0"/>
        <v>Lost Revenue</v>
      </c>
    </row>
    <row r="48" spans="1:14" x14ac:dyDescent="0.3">
      <c r="A48" t="s">
        <v>79</v>
      </c>
      <c r="B48">
        <v>32</v>
      </c>
      <c r="C48" t="s">
        <v>8</v>
      </c>
      <c r="D48" t="s">
        <v>30</v>
      </c>
      <c r="E48" t="s">
        <v>21</v>
      </c>
      <c r="F48">
        <v>9.99</v>
      </c>
      <c r="G48" t="s">
        <v>38</v>
      </c>
      <c r="H48" t="s">
        <v>11</v>
      </c>
      <c r="I48">
        <v>21</v>
      </c>
      <c r="J48">
        <v>46</v>
      </c>
      <c r="K48" t="s">
        <v>23</v>
      </c>
      <c r="L48" t="str" cm="1">
        <f t="array" ref="L48">_xlfn.IFS(I48&lt;20,"Critical Danger",I48&lt;40,"Low Engagement",TRUE,"Healthy Binger")</f>
        <v>Low Engagement</v>
      </c>
      <c r="M48" t="str" cm="1">
        <f t="array" ref="M48">_xlfn.IFS(J48&lt;30,"Skipper",J48&lt;70,"Casual Watcher",TRUE,"Finisher")</f>
        <v>Casual Watcher</v>
      </c>
      <c r="N48" t="str">
        <f t="shared" si="0"/>
        <v>Active Revenue</v>
      </c>
    </row>
    <row r="49" spans="1:14" x14ac:dyDescent="0.3">
      <c r="A49" t="s">
        <v>80</v>
      </c>
      <c r="B49">
        <v>54</v>
      </c>
      <c r="C49" t="s">
        <v>9</v>
      </c>
      <c r="D49" t="s">
        <v>32</v>
      </c>
      <c r="E49" t="s">
        <v>20</v>
      </c>
      <c r="F49">
        <v>22.99</v>
      </c>
      <c r="G49" t="s">
        <v>18</v>
      </c>
      <c r="H49" t="s">
        <v>12</v>
      </c>
      <c r="I49">
        <v>63</v>
      </c>
      <c r="J49">
        <v>87</v>
      </c>
      <c r="K49" t="s">
        <v>23</v>
      </c>
      <c r="L49" t="str" cm="1">
        <f t="array" ref="L49">_xlfn.IFS(I49&lt;20,"Critical Danger",I49&lt;40,"Low Engagement",TRUE,"Healthy Binger")</f>
        <v>Healthy Binger</v>
      </c>
      <c r="M49" t="str" cm="1">
        <f t="array" ref="M49">_xlfn.IFS(J49&lt;30,"Skipper",J49&lt;70,"Casual Watcher",TRUE,"Finisher")</f>
        <v>Finisher</v>
      </c>
      <c r="N49" t="str">
        <f t="shared" si="0"/>
        <v>Active Revenue</v>
      </c>
    </row>
    <row r="50" spans="1:14" x14ac:dyDescent="0.3">
      <c r="A50" t="s">
        <v>81</v>
      </c>
      <c r="B50">
        <v>24</v>
      </c>
      <c r="C50" t="s">
        <v>8</v>
      </c>
      <c r="D50" t="s">
        <v>34</v>
      </c>
      <c r="E50" t="s">
        <v>19</v>
      </c>
      <c r="F50">
        <v>15.49</v>
      </c>
      <c r="G50" t="s">
        <v>14</v>
      </c>
      <c r="H50" t="s">
        <v>13</v>
      </c>
      <c r="I50">
        <v>37</v>
      </c>
      <c r="J50">
        <v>68</v>
      </c>
      <c r="K50" t="s">
        <v>23</v>
      </c>
      <c r="L50" t="str" cm="1">
        <f t="array" ref="L50">_xlfn.IFS(I50&lt;20,"Critical Danger",I50&lt;40,"Low Engagement",TRUE,"Healthy Binger")</f>
        <v>Low Engagement</v>
      </c>
      <c r="M50" t="str" cm="1">
        <f t="array" ref="M50">_xlfn.IFS(J50&lt;30,"Skipper",J50&lt;70,"Casual Watcher",TRUE,"Finisher")</f>
        <v>Casual Watcher</v>
      </c>
      <c r="N50" t="str">
        <f t="shared" si="0"/>
        <v>Active Revenue</v>
      </c>
    </row>
    <row r="51" spans="1:14" x14ac:dyDescent="0.3">
      <c r="A51" t="s">
        <v>82</v>
      </c>
      <c r="B51">
        <v>37</v>
      </c>
      <c r="C51" t="s">
        <v>9</v>
      </c>
      <c r="D51" t="s">
        <v>36</v>
      </c>
      <c r="E51" t="s">
        <v>21</v>
      </c>
      <c r="F51">
        <v>9.99</v>
      </c>
      <c r="G51" t="s">
        <v>17</v>
      </c>
      <c r="H51" t="s">
        <v>10</v>
      </c>
      <c r="I51">
        <v>8</v>
      </c>
      <c r="J51">
        <v>19</v>
      </c>
      <c r="K51" t="s">
        <v>22</v>
      </c>
      <c r="L51" t="str" cm="1">
        <f t="array" ref="L51">_xlfn.IFS(I51&lt;20,"Critical Danger",I51&lt;40,"Low Engagement",TRUE,"Healthy Binger")</f>
        <v>Critical Danger</v>
      </c>
      <c r="M51" t="str" cm="1">
        <f t="array" ref="M51">_xlfn.IFS(J51&lt;30,"Skipper",J51&lt;70,"Casual Watcher",TRUE,"Finisher")</f>
        <v>Skipper</v>
      </c>
      <c r="N51" t="str">
        <f t="shared" si="0"/>
        <v>Lost Revenue</v>
      </c>
    </row>
    <row r="52" spans="1:14" x14ac:dyDescent="0.3">
      <c r="A52" t="s">
        <v>83</v>
      </c>
      <c r="B52">
        <v>36</v>
      </c>
      <c r="C52" t="s">
        <v>8</v>
      </c>
      <c r="D52" t="s">
        <v>28</v>
      </c>
      <c r="E52" t="s">
        <v>20</v>
      </c>
      <c r="F52">
        <v>22.99</v>
      </c>
      <c r="G52" t="s">
        <v>15</v>
      </c>
      <c r="H52" t="s">
        <v>11</v>
      </c>
      <c r="I52">
        <v>57</v>
      </c>
      <c r="J52">
        <v>82</v>
      </c>
      <c r="K52" t="s">
        <v>23</v>
      </c>
      <c r="L52" t="str" cm="1">
        <f t="array" ref="L52">_xlfn.IFS(I52&lt;20,"Critical Danger",I52&lt;40,"Low Engagement",TRUE,"Healthy Binger")</f>
        <v>Healthy Binger</v>
      </c>
      <c r="M52" t="str" cm="1">
        <f t="array" ref="M52">_xlfn.IFS(J52&lt;30,"Skipper",J52&lt;70,"Casual Watcher",TRUE,"Finisher")</f>
        <v>Finisher</v>
      </c>
      <c r="N52" t="str">
        <f t="shared" si="0"/>
        <v>Active Revenue</v>
      </c>
    </row>
    <row r="53" spans="1:14" x14ac:dyDescent="0.3">
      <c r="A53" t="s">
        <v>84</v>
      </c>
      <c r="B53">
        <v>51</v>
      </c>
      <c r="C53" t="s">
        <v>9</v>
      </c>
      <c r="D53" t="s">
        <v>30</v>
      </c>
      <c r="E53" t="s">
        <v>19</v>
      </c>
      <c r="F53">
        <v>15.49</v>
      </c>
      <c r="G53" t="s">
        <v>16</v>
      </c>
      <c r="H53" t="s">
        <v>12</v>
      </c>
      <c r="I53">
        <v>43</v>
      </c>
      <c r="J53">
        <v>71</v>
      </c>
      <c r="K53" t="s">
        <v>23</v>
      </c>
      <c r="L53" t="str" cm="1">
        <f t="array" ref="L53">_xlfn.IFS(I53&lt;20,"Critical Danger",I53&lt;40,"Low Engagement",TRUE,"Healthy Binger")</f>
        <v>Healthy Binger</v>
      </c>
      <c r="M53" t="str" cm="1">
        <f t="array" ref="M53">_xlfn.IFS(J53&lt;30,"Skipper",J53&lt;70,"Casual Watcher",TRUE,"Finisher")</f>
        <v>Finisher</v>
      </c>
      <c r="N53" t="str">
        <f t="shared" si="0"/>
        <v>Active Revenue</v>
      </c>
    </row>
    <row r="54" spans="1:14" x14ac:dyDescent="0.3">
      <c r="A54" t="s">
        <v>85</v>
      </c>
      <c r="B54">
        <v>26</v>
      </c>
      <c r="C54" t="s">
        <v>8</v>
      </c>
      <c r="D54" t="s">
        <v>32</v>
      </c>
      <c r="E54" t="s">
        <v>21</v>
      </c>
      <c r="F54">
        <v>9.99</v>
      </c>
      <c r="G54" t="s">
        <v>38</v>
      </c>
      <c r="H54" t="s">
        <v>10</v>
      </c>
      <c r="I54">
        <v>10</v>
      </c>
      <c r="J54">
        <v>22</v>
      </c>
      <c r="K54" t="s">
        <v>22</v>
      </c>
      <c r="L54" t="str" cm="1">
        <f t="array" ref="L54">_xlfn.IFS(I54&lt;20,"Critical Danger",I54&lt;40,"Low Engagement",TRUE,"Healthy Binger")</f>
        <v>Critical Danger</v>
      </c>
      <c r="M54" t="str" cm="1">
        <f t="array" ref="M54">_xlfn.IFS(J54&lt;30,"Skipper",J54&lt;70,"Casual Watcher",TRUE,"Finisher")</f>
        <v>Skipper</v>
      </c>
      <c r="N54" t="str">
        <f t="shared" si="0"/>
        <v>Lost Revenue</v>
      </c>
    </row>
    <row r="55" spans="1:14" x14ac:dyDescent="0.3">
      <c r="A55" t="s">
        <v>86</v>
      </c>
      <c r="B55">
        <v>41</v>
      </c>
      <c r="C55" t="s">
        <v>9</v>
      </c>
      <c r="D55" t="s">
        <v>34</v>
      </c>
      <c r="E55" t="s">
        <v>20</v>
      </c>
      <c r="F55">
        <v>22.99</v>
      </c>
      <c r="G55" t="s">
        <v>18</v>
      </c>
      <c r="H55" t="s">
        <v>13</v>
      </c>
      <c r="I55">
        <v>60</v>
      </c>
      <c r="J55">
        <v>85</v>
      </c>
      <c r="K55" t="s">
        <v>23</v>
      </c>
      <c r="L55" t="str" cm="1">
        <f t="array" ref="L55">_xlfn.IFS(I55&lt;20,"Critical Danger",I55&lt;40,"Low Engagement",TRUE,"Healthy Binger")</f>
        <v>Healthy Binger</v>
      </c>
      <c r="M55" t="str" cm="1">
        <f t="array" ref="M55">_xlfn.IFS(J55&lt;30,"Skipper",J55&lt;70,"Casual Watcher",TRUE,"Finisher")</f>
        <v>Finisher</v>
      </c>
      <c r="N55" t="str">
        <f t="shared" si="0"/>
        <v>Active Revenue</v>
      </c>
    </row>
    <row r="56" spans="1:14" x14ac:dyDescent="0.3">
      <c r="A56" t="s">
        <v>87</v>
      </c>
      <c r="B56">
        <v>30</v>
      </c>
      <c r="C56" t="s">
        <v>8</v>
      </c>
      <c r="D56" t="s">
        <v>36</v>
      </c>
      <c r="E56" t="s">
        <v>19</v>
      </c>
      <c r="F56">
        <v>15.49</v>
      </c>
      <c r="G56" t="s">
        <v>14</v>
      </c>
      <c r="H56" t="s">
        <v>11</v>
      </c>
      <c r="I56">
        <v>45</v>
      </c>
      <c r="J56">
        <v>74</v>
      </c>
      <c r="K56" t="s">
        <v>23</v>
      </c>
      <c r="L56" t="str" cm="1">
        <f t="array" ref="L56">_xlfn.IFS(I56&lt;20,"Critical Danger",I56&lt;40,"Low Engagement",TRUE,"Healthy Binger")</f>
        <v>Healthy Binger</v>
      </c>
      <c r="M56" t="str" cm="1">
        <f t="array" ref="M56">_xlfn.IFS(J56&lt;30,"Skipper",J56&lt;70,"Casual Watcher",TRUE,"Finisher")</f>
        <v>Finisher</v>
      </c>
      <c r="N56" t="str">
        <f t="shared" si="0"/>
        <v>Active Revenue</v>
      </c>
    </row>
    <row r="57" spans="1:14" x14ac:dyDescent="0.3">
      <c r="A57" t="s">
        <v>88</v>
      </c>
      <c r="B57">
        <v>23</v>
      </c>
      <c r="C57" t="s">
        <v>9</v>
      </c>
      <c r="D57" t="s">
        <v>28</v>
      </c>
      <c r="E57" t="s">
        <v>21</v>
      </c>
      <c r="F57">
        <v>9.99</v>
      </c>
      <c r="G57" t="s">
        <v>17</v>
      </c>
      <c r="H57" t="s">
        <v>12</v>
      </c>
      <c r="I57">
        <v>26</v>
      </c>
      <c r="J57">
        <v>54</v>
      </c>
      <c r="K57" t="s">
        <v>23</v>
      </c>
      <c r="L57" t="str" cm="1">
        <f t="array" ref="L57">_xlfn.IFS(I57&lt;20,"Critical Danger",I57&lt;40,"Low Engagement",TRUE,"Healthy Binger")</f>
        <v>Low Engagement</v>
      </c>
      <c r="M57" t="str" cm="1">
        <f t="array" ref="M57">_xlfn.IFS(J57&lt;30,"Skipper",J57&lt;70,"Casual Watcher",TRUE,"Finisher")</f>
        <v>Casual Watcher</v>
      </c>
      <c r="N57" t="str">
        <f t="shared" si="0"/>
        <v>Active Revenue</v>
      </c>
    </row>
    <row r="58" spans="1:14" x14ac:dyDescent="0.3">
      <c r="A58" t="s">
        <v>89</v>
      </c>
      <c r="B58">
        <v>59</v>
      </c>
      <c r="C58" t="s">
        <v>8</v>
      </c>
      <c r="D58" t="s">
        <v>30</v>
      </c>
      <c r="E58" t="s">
        <v>20</v>
      </c>
      <c r="F58">
        <v>22.99</v>
      </c>
      <c r="G58" t="s">
        <v>15</v>
      </c>
      <c r="H58" t="s">
        <v>10</v>
      </c>
      <c r="I58">
        <v>72</v>
      </c>
      <c r="J58">
        <v>94</v>
      </c>
      <c r="K58" t="s">
        <v>23</v>
      </c>
      <c r="L58" t="str" cm="1">
        <f t="array" ref="L58">_xlfn.IFS(I58&lt;20,"Critical Danger",I58&lt;40,"Low Engagement",TRUE,"Healthy Binger")</f>
        <v>Healthy Binger</v>
      </c>
      <c r="M58" t="str" cm="1">
        <f t="array" ref="M58">_xlfn.IFS(J58&lt;30,"Skipper",J58&lt;70,"Casual Watcher",TRUE,"Finisher")</f>
        <v>Finisher</v>
      </c>
      <c r="N58" t="str">
        <f t="shared" si="0"/>
        <v>Active Revenue</v>
      </c>
    </row>
    <row r="59" spans="1:14" x14ac:dyDescent="0.3">
      <c r="A59" t="s">
        <v>90</v>
      </c>
      <c r="B59">
        <v>38</v>
      </c>
      <c r="C59" t="s">
        <v>9</v>
      </c>
      <c r="D59" t="s">
        <v>32</v>
      </c>
      <c r="E59" t="s">
        <v>19</v>
      </c>
      <c r="F59">
        <v>15.49</v>
      </c>
      <c r="G59" t="s">
        <v>16</v>
      </c>
      <c r="H59" t="s">
        <v>13</v>
      </c>
      <c r="I59">
        <v>14</v>
      </c>
      <c r="J59">
        <v>31</v>
      </c>
      <c r="K59" t="s">
        <v>22</v>
      </c>
      <c r="L59" t="str" cm="1">
        <f t="array" ref="L59">_xlfn.IFS(I59&lt;20,"Critical Danger",I59&lt;40,"Low Engagement",TRUE,"Healthy Binger")</f>
        <v>Critical Danger</v>
      </c>
      <c r="M59" t="str" cm="1">
        <f t="array" ref="M59">_xlfn.IFS(J59&lt;30,"Skipper",J59&lt;70,"Casual Watcher",TRUE,"Finisher")</f>
        <v>Casual Watcher</v>
      </c>
      <c r="N59" t="str">
        <f t="shared" si="0"/>
        <v>Lost Revenue</v>
      </c>
    </row>
    <row r="60" spans="1:14" x14ac:dyDescent="0.3">
      <c r="A60" t="s">
        <v>91</v>
      </c>
      <c r="B60">
        <v>25</v>
      </c>
      <c r="C60" t="s">
        <v>8</v>
      </c>
      <c r="D60" t="s">
        <v>34</v>
      </c>
      <c r="E60" t="s">
        <v>21</v>
      </c>
      <c r="F60">
        <v>9.99</v>
      </c>
      <c r="G60" t="s">
        <v>38</v>
      </c>
      <c r="H60" t="s">
        <v>11</v>
      </c>
      <c r="I60">
        <v>18</v>
      </c>
      <c r="J60">
        <v>40</v>
      </c>
      <c r="K60" t="s">
        <v>23</v>
      </c>
      <c r="L60" t="str" cm="1">
        <f t="array" ref="L60">_xlfn.IFS(I60&lt;20,"Critical Danger",I60&lt;40,"Low Engagement",TRUE,"Healthy Binger")</f>
        <v>Critical Danger</v>
      </c>
      <c r="M60" t="str" cm="1">
        <f t="array" ref="M60">_xlfn.IFS(J60&lt;30,"Skipper",J60&lt;70,"Casual Watcher",TRUE,"Finisher")</f>
        <v>Casual Watcher</v>
      </c>
      <c r="N60" t="str">
        <f t="shared" si="0"/>
        <v>Active Revenue</v>
      </c>
    </row>
    <row r="61" spans="1:14" x14ac:dyDescent="0.3">
      <c r="A61" t="s">
        <v>92</v>
      </c>
      <c r="B61">
        <v>49</v>
      </c>
      <c r="C61" t="s">
        <v>9</v>
      </c>
      <c r="D61" t="s">
        <v>36</v>
      </c>
      <c r="E61" t="s">
        <v>20</v>
      </c>
      <c r="F61">
        <v>22.99</v>
      </c>
      <c r="G61" t="s">
        <v>18</v>
      </c>
      <c r="H61" t="s">
        <v>12</v>
      </c>
      <c r="I61">
        <v>67</v>
      </c>
      <c r="J61">
        <v>91</v>
      </c>
      <c r="K61" t="s">
        <v>23</v>
      </c>
      <c r="L61" t="str" cm="1">
        <f t="array" ref="L61">_xlfn.IFS(I61&lt;20,"Critical Danger",I61&lt;40,"Low Engagement",TRUE,"Healthy Binger")</f>
        <v>Healthy Binger</v>
      </c>
      <c r="M61" t="str" cm="1">
        <f t="array" ref="M61">_xlfn.IFS(J61&lt;30,"Skipper",J61&lt;70,"Casual Watcher",TRUE,"Finisher")</f>
        <v>Finisher</v>
      </c>
      <c r="N61" t="str">
        <f t="shared" si="0"/>
        <v>Active Revenue</v>
      </c>
    </row>
    <row r="62" spans="1:14" x14ac:dyDescent="0.3">
      <c r="A62" t="s">
        <v>93</v>
      </c>
      <c r="B62">
        <v>39</v>
      </c>
      <c r="C62" t="s">
        <v>8</v>
      </c>
      <c r="D62" t="s">
        <v>28</v>
      </c>
      <c r="E62" t="s">
        <v>19</v>
      </c>
      <c r="F62">
        <v>15.49</v>
      </c>
      <c r="G62" t="s">
        <v>14</v>
      </c>
      <c r="H62" t="s">
        <v>13</v>
      </c>
      <c r="I62">
        <v>42</v>
      </c>
      <c r="J62">
        <v>73</v>
      </c>
      <c r="K62" t="s">
        <v>23</v>
      </c>
      <c r="L62" t="str" cm="1">
        <f t="array" ref="L62">_xlfn.IFS(I62&lt;20,"Critical Danger",I62&lt;40,"Low Engagement",TRUE,"Healthy Binger")</f>
        <v>Healthy Binger</v>
      </c>
      <c r="M62" t="str" cm="1">
        <f t="array" ref="M62">_xlfn.IFS(J62&lt;30,"Skipper",J62&lt;70,"Casual Watcher",TRUE,"Finisher")</f>
        <v>Finisher</v>
      </c>
      <c r="N62" t="str">
        <f t="shared" si="0"/>
        <v>Active Revenue</v>
      </c>
    </row>
    <row r="63" spans="1:14" x14ac:dyDescent="0.3">
      <c r="A63" t="s">
        <v>94</v>
      </c>
      <c r="B63">
        <v>52</v>
      </c>
      <c r="C63" t="s">
        <v>9</v>
      </c>
      <c r="D63" t="s">
        <v>30</v>
      </c>
      <c r="E63" t="s">
        <v>21</v>
      </c>
      <c r="F63">
        <v>9.99</v>
      </c>
      <c r="G63" t="s">
        <v>17</v>
      </c>
      <c r="H63" t="s">
        <v>10</v>
      </c>
      <c r="I63">
        <v>5</v>
      </c>
      <c r="J63">
        <v>11</v>
      </c>
      <c r="K63" t="s">
        <v>22</v>
      </c>
      <c r="L63" t="str" cm="1">
        <f t="array" ref="L63">_xlfn.IFS(I63&lt;20,"Critical Danger",I63&lt;40,"Low Engagement",TRUE,"Healthy Binger")</f>
        <v>Critical Danger</v>
      </c>
      <c r="M63" t="str" cm="1">
        <f t="array" ref="M63">_xlfn.IFS(J63&lt;30,"Skipper",J63&lt;70,"Casual Watcher",TRUE,"Finisher")</f>
        <v>Skipper</v>
      </c>
      <c r="N63" t="str">
        <f t="shared" si="0"/>
        <v>Lost Revenue</v>
      </c>
    </row>
    <row r="64" spans="1:14" x14ac:dyDescent="0.3">
      <c r="A64" t="s">
        <v>95</v>
      </c>
      <c r="B64">
        <v>28</v>
      </c>
      <c r="C64" t="s">
        <v>8</v>
      </c>
      <c r="D64" t="s">
        <v>32</v>
      </c>
      <c r="E64" t="s">
        <v>20</v>
      </c>
      <c r="F64">
        <v>22.99</v>
      </c>
      <c r="G64" t="s">
        <v>15</v>
      </c>
      <c r="H64" t="s">
        <v>11</v>
      </c>
      <c r="I64">
        <v>51</v>
      </c>
      <c r="J64">
        <v>80</v>
      </c>
      <c r="K64" t="s">
        <v>23</v>
      </c>
      <c r="L64" t="str" cm="1">
        <f t="array" ref="L64">_xlfn.IFS(I64&lt;20,"Critical Danger",I64&lt;40,"Low Engagement",TRUE,"Healthy Binger")</f>
        <v>Healthy Binger</v>
      </c>
      <c r="M64" t="str" cm="1">
        <f t="array" ref="M64">_xlfn.IFS(J64&lt;30,"Skipper",J64&lt;70,"Casual Watcher",TRUE,"Finisher")</f>
        <v>Finisher</v>
      </c>
      <c r="N64" t="str">
        <f t="shared" si="0"/>
        <v>Active Revenue</v>
      </c>
    </row>
    <row r="65" spans="1:14" x14ac:dyDescent="0.3">
      <c r="A65" t="s">
        <v>96</v>
      </c>
      <c r="B65">
        <v>45</v>
      </c>
      <c r="C65" t="s">
        <v>9</v>
      </c>
      <c r="D65" t="s">
        <v>34</v>
      </c>
      <c r="E65" t="s">
        <v>19</v>
      </c>
      <c r="F65">
        <v>15.49</v>
      </c>
      <c r="G65" t="s">
        <v>16</v>
      </c>
      <c r="H65" t="s">
        <v>12</v>
      </c>
      <c r="I65">
        <v>36</v>
      </c>
      <c r="J65">
        <v>64</v>
      </c>
      <c r="K65" t="s">
        <v>23</v>
      </c>
      <c r="L65" t="str" cm="1">
        <f t="array" ref="L65">_xlfn.IFS(I65&lt;20,"Critical Danger",I65&lt;40,"Low Engagement",TRUE,"Healthy Binger")</f>
        <v>Low Engagement</v>
      </c>
      <c r="M65" t="str" cm="1">
        <f t="array" ref="M65">_xlfn.IFS(J65&lt;30,"Skipper",J65&lt;70,"Casual Watcher",TRUE,"Finisher")</f>
        <v>Casual Watcher</v>
      </c>
      <c r="N65" t="str">
        <f t="shared" si="0"/>
        <v>Active Revenue</v>
      </c>
    </row>
    <row r="66" spans="1:14" x14ac:dyDescent="0.3">
      <c r="A66" t="s">
        <v>97</v>
      </c>
      <c r="B66">
        <v>32</v>
      </c>
      <c r="C66" t="s">
        <v>8</v>
      </c>
      <c r="D66" t="s">
        <v>36</v>
      </c>
      <c r="E66" t="s">
        <v>21</v>
      </c>
      <c r="F66">
        <v>9.99</v>
      </c>
      <c r="G66" t="s">
        <v>38</v>
      </c>
      <c r="H66" t="s">
        <v>13</v>
      </c>
      <c r="I66">
        <v>12</v>
      </c>
      <c r="J66">
        <v>27</v>
      </c>
      <c r="K66" t="s">
        <v>22</v>
      </c>
      <c r="L66" t="str" cm="1">
        <f t="array" ref="L66">_xlfn.IFS(I66&lt;20,"Critical Danger",I66&lt;40,"Low Engagement",TRUE,"Healthy Binger")</f>
        <v>Critical Danger</v>
      </c>
      <c r="M66" t="str" cm="1">
        <f t="array" ref="M66">_xlfn.IFS(J66&lt;30,"Skipper",J66&lt;70,"Casual Watcher",TRUE,"Finisher")</f>
        <v>Skipper</v>
      </c>
      <c r="N66" t="str">
        <f t="shared" si="0"/>
        <v>Lost Revenue</v>
      </c>
    </row>
    <row r="67" spans="1:14" x14ac:dyDescent="0.3">
      <c r="A67" t="s">
        <v>98</v>
      </c>
      <c r="B67">
        <v>21</v>
      </c>
      <c r="C67" t="s">
        <v>9</v>
      </c>
      <c r="D67" t="s">
        <v>28</v>
      </c>
      <c r="E67" t="s">
        <v>20</v>
      </c>
      <c r="F67">
        <v>22.99</v>
      </c>
      <c r="G67" t="s">
        <v>18</v>
      </c>
      <c r="H67" t="s">
        <v>10</v>
      </c>
      <c r="I67">
        <v>58</v>
      </c>
      <c r="J67">
        <v>86</v>
      </c>
      <c r="K67" t="s">
        <v>23</v>
      </c>
      <c r="L67" t="str" cm="1">
        <f t="array" ref="L67">_xlfn.IFS(I67&lt;20,"Critical Danger",I67&lt;40,"Low Engagement",TRUE,"Healthy Binger")</f>
        <v>Healthy Binger</v>
      </c>
      <c r="M67" t="str" cm="1">
        <f t="array" ref="M67">_xlfn.IFS(J67&lt;30,"Skipper",J67&lt;70,"Casual Watcher",TRUE,"Finisher")</f>
        <v>Finisher</v>
      </c>
      <c r="N67" t="str">
        <f t="shared" ref="N67:N101" si="2">IF(K67="Churned","Lost Revenue","Active Revenue")</f>
        <v>Active Revenue</v>
      </c>
    </row>
    <row r="68" spans="1:14" x14ac:dyDescent="0.3">
      <c r="A68" t="s">
        <v>99</v>
      </c>
      <c r="B68">
        <v>55</v>
      </c>
      <c r="C68" t="s">
        <v>8</v>
      </c>
      <c r="D68" t="s">
        <v>30</v>
      </c>
      <c r="E68" t="s">
        <v>19</v>
      </c>
      <c r="F68">
        <v>15.49</v>
      </c>
      <c r="G68" t="s">
        <v>14</v>
      </c>
      <c r="H68" t="s">
        <v>11</v>
      </c>
      <c r="I68">
        <v>47</v>
      </c>
      <c r="J68">
        <v>75</v>
      </c>
      <c r="K68" t="s">
        <v>23</v>
      </c>
      <c r="L68" t="str" cm="1">
        <f t="array" ref="L68">_xlfn.IFS(I68&lt;20,"Critical Danger",I68&lt;40,"Low Engagement",TRUE,"Healthy Binger")</f>
        <v>Healthy Binger</v>
      </c>
      <c r="M68" t="str" cm="1">
        <f t="array" ref="M68">_xlfn.IFS(J68&lt;30,"Skipper",J68&lt;70,"Casual Watcher",TRUE,"Finisher")</f>
        <v>Finisher</v>
      </c>
      <c r="N68" t="str">
        <f t="shared" si="2"/>
        <v>Active Revenue</v>
      </c>
    </row>
    <row r="69" spans="1:14" x14ac:dyDescent="0.3">
      <c r="A69" t="s">
        <v>100</v>
      </c>
      <c r="B69">
        <v>43</v>
      </c>
      <c r="C69" t="s">
        <v>9</v>
      </c>
      <c r="D69" t="s">
        <v>32</v>
      </c>
      <c r="E69" t="s">
        <v>21</v>
      </c>
      <c r="F69">
        <v>9.99</v>
      </c>
      <c r="G69" t="s">
        <v>17</v>
      </c>
      <c r="H69" t="s">
        <v>12</v>
      </c>
      <c r="I69">
        <v>23</v>
      </c>
      <c r="J69">
        <v>51</v>
      </c>
      <c r="K69" t="s">
        <v>23</v>
      </c>
      <c r="L69" t="str" cm="1">
        <f t="array" ref="L69">_xlfn.IFS(I69&lt;20,"Critical Danger",I69&lt;40,"Low Engagement",TRUE,"Healthy Binger")</f>
        <v>Low Engagement</v>
      </c>
      <c r="M69" t="str" cm="1">
        <f t="array" ref="M69">_xlfn.IFS(J69&lt;30,"Skipper",J69&lt;70,"Casual Watcher",TRUE,"Finisher")</f>
        <v>Casual Watcher</v>
      </c>
      <c r="N69" t="str">
        <f t="shared" si="2"/>
        <v>Active Revenue</v>
      </c>
    </row>
    <row r="70" spans="1:14" x14ac:dyDescent="0.3">
      <c r="A70" t="s">
        <v>101</v>
      </c>
      <c r="B70">
        <v>34</v>
      </c>
      <c r="C70" t="s">
        <v>8</v>
      </c>
      <c r="D70" t="s">
        <v>34</v>
      </c>
      <c r="E70" t="s">
        <v>20</v>
      </c>
      <c r="F70">
        <v>22.99</v>
      </c>
      <c r="G70" t="s">
        <v>15</v>
      </c>
      <c r="H70" t="s">
        <v>13</v>
      </c>
      <c r="I70">
        <v>69</v>
      </c>
      <c r="J70">
        <v>93</v>
      </c>
      <c r="K70" t="s">
        <v>23</v>
      </c>
      <c r="L70" t="str" cm="1">
        <f t="array" ref="L70">_xlfn.IFS(I70&lt;20,"Critical Danger",I70&lt;40,"Low Engagement",TRUE,"Healthy Binger")</f>
        <v>Healthy Binger</v>
      </c>
      <c r="M70" t="str" cm="1">
        <f t="array" ref="M70">_xlfn.IFS(J70&lt;30,"Skipper",J70&lt;70,"Casual Watcher",TRUE,"Finisher")</f>
        <v>Finisher</v>
      </c>
      <c r="N70" t="str">
        <f t="shared" si="2"/>
        <v>Active Revenue</v>
      </c>
    </row>
    <row r="71" spans="1:14" x14ac:dyDescent="0.3">
      <c r="A71" t="s">
        <v>102</v>
      </c>
      <c r="B71">
        <v>50</v>
      </c>
      <c r="C71" t="s">
        <v>9</v>
      </c>
      <c r="D71" t="s">
        <v>36</v>
      </c>
      <c r="E71" t="s">
        <v>19</v>
      </c>
      <c r="F71">
        <v>15.49</v>
      </c>
      <c r="G71" t="s">
        <v>16</v>
      </c>
      <c r="H71" t="s">
        <v>10</v>
      </c>
      <c r="I71">
        <v>11</v>
      </c>
      <c r="J71">
        <v>24</v>
      </c>
      <c r="K71" t="s">
        <v>22</v>
      </c>
      <c r="L71" t="str" cm="1">
        <f t="array" ref="L71">_xlfn.IFS(I71&lt;20,"Critical Danger",I71&lt;40,"Low Engagement",TRUE,"Healthy Binger")</f>
        <v>Critical Danger</v>
      </c>
      <c r="M71" t="str" cm="1">
        <f t="array" ref="M71">_xlfn.IFS(J71&lt;30,"Skipper",J71&lt;70,"Casual Watcher",TRUE,"Finisher")</f>
        <v>Skipper</v>
      </c>
      <c r="N71" t="str">
        <f t="shared" si="2"/>
        <v>Lost Revenue</v>
      </c>
    </row>
    <row r="72" spans="1:14" x14ac:dyDescent="0.3">
      <c r="A72" t="s">
        <v>103</v>
      </c>
      <c r="B72">
        <v>29</v>
      </c>
      <c r="C72" t="s">
        <v>8</v>
      </c>
      <c r="D72" t="s">
        <v>28</v>
      </c>
      <c r="E72" t="s">
        <v>21</v>
      </c>
      <c r="F72">
        <v>9.99</v>
      </c>
      <c r="G72" t="s">
        <v>38</v>
      </c>
      <c r="H72" t="s">
        <v>11</v>
      </c>
      <c r="I72">
        <v>23</v>
      </c>
      <c r="J72">
        <v>50</v>
      </c>
      <c r="K72" t="s">
        <v>23</v>
      </c>
      <c r="L72" t="str" cm="1">
        <f t="array" ref="L72">_xlfn.IFS(I72&lt;20,"Critical Danger",I72&lt;40,"Low Engagement",TRUE,"Healthy Binger")</f>
        <v>Low Engagement</v>
      </c>
      <c r="M72" t="str" cm="1">
        <f t="array" ref="M72">_xlfn.IFS(J72&lt;30,"Skipper",J72&lt;70,"Casual Watcher",TRUE,"Finisher")</f>
        <v>Casual Watcher</v>
      </c>
      <c r="N72" t="str">
        <f t="shared" si="2"/>
        <v>Active Revenue</v>
      </c>
    </row>
    <row r="73" spans="1:14" x14ac:dyDescent="0.3">
      <c r="A73" t="s">
        <v>104</v>
      </c>
      <c r="B73">
        <v>47</v>
      </c>
      <c r="C73" t="s">
        <v>9</v>
      </c>
      <c r="D73" t="s">
        <v>30</v>
      </c>
      <c r="E73" t="s">
        <v>20</v>
      </c>
      <c r="F73">
        <v>22.99</v>
      </c>
      <c r="G73" t="s">
        <v>18</v>
      </c>
      <c r="H73" t="s">
        <v>12</v>
      </c>
      <c r="I73">
        <v>65</v>
      </c>
      <c r="J73">
        <v>88</v>
      </c>
      <c r="K73" t="s">
        <v>23</v>
      </c>
      <c r="L73" t="str" cm="1">
        <f t="array" ref="L73">_xlfn.IFS(I73&lt;20,"Critical Danger",I73&lt;40,"Low Engagement",TRUE,"Healthy Binger")</f>
        <v>Healthy Binger</v>
      </c>
      <c r="M73" t="str" cm="1">
        <f t="array" ref="M73">_xlfn.IFS(J73&lt;30,"Skipper",J73&lt;70,"Casual Watcher",TRUE,"Finisher")</f>
        <v>Finisher</v>
      </c>
      <c r="N73" t="str">
        <f t="shared" si="2"/>
        <v>Active Revenue</v>
      </c>
    </row>
    <row r="74" spans="1:14" x14ac:dyDescent="0.3">
      <c r="A74" t="s">
        <v>105</v>
      </c>
      <c r="B74">
        <v>32</v>
      </c>
      <c r="C74" t="s">
        <v>8</v>
      </c>
      <c r="D74" t="s">
        <v>32</v>
      </c>
      <c r="E74" t="s">
        <v>19</v>
      </c>
      <c r="F74">
        <v>15.49</v>
      </c>
      <c r="G74" t="s">
        <v>14</v>
      </c>
      <c r="H74" t="s">
        <v>13</v>
      </c>
      <c r="I74">
        <v>38</v>
      </c>
      <c r="J74">
        <v>70</v>
      </c>
      <c r="K74" t="s">
        <v>23</v>
      </c>
      <c r="L74" t="str" cm="1">
        <f t="array" ref="L74">_xlfn.IFS(I74&lt;20,"Critical Danger",I74&lt;40,"Low Engagement",TRUE,"Healthy Binger")</f>
        <v>Low Engagement</v>
      </c>
      <c r="M74" t="str" cm="1">
        <f t="array" ref="M74">_xlfn.IFS(J74&lt;30,"Skipper",J74&lt;70,"Casual Watcher",TRUE,"Finisher")</f>
        <v>Finisher</v>
      </c>
      <c r="N74" t="str">
        <f t="shared" si="2"/>
        <v>Active Revenue</v>
      </c>
    </row>
    <row r="75" spans="1:14" x14ac:dyDescent="0.3">
      <c r="A75" t="s">
        <v>106</v>
      </c>
      <c r="B75">
        <v>61</v>
      </c>
      <c r="C75" t="s">
        <v>9</v>
      </c>
      <c r="D75" t="s">
        <v>34</v>
      </c>
      <c r="E75" t="s">
        <v>21</v>
      </c>
      <c r="F75">
        <v>9.99</v>
      </c>
      <c r="G75" t="s">
        <v>17</v>
      </c>
      <c r="H75" t="s">
        <v>10</v>
      </c>
      <c r="I75">
        <v>8</v>
      </c>
      <c r="J75">
        <v>16</v>
      </c>
      <c r="K75" t="s">
        <v>22</v>
      </c>
      <c r="L75" t="str" cm="1">
        <f t="array" ref="L75">_xlfn.IFS(I75&lt;20,"Critical Danger",I75&lt;40,"Low Engagement",TRUE,"Healthy Binger")</f>
        <v>Critical Danger</v>
      </c>
      <c r="M75" t="str" cm="1">
        <f t="array" ref="M75">_xlfn.IFS(J75&lt;30,"Skipper",J75&lt;70,"Casual Watcher",TRUE,"Finisher")</f>
        <v>Skipper</v>
      </c>
      <c r="N75" t="str">
        <f t="shared" si="2"/>
        <v>Lost Revenue</v>
      </c>
    </row>
    <row r="76" spans="1:14" x14ac:dyDescent="0.3">
      <c r="A76" t="s">
        <v>107</v>
      </c>
      <c r="B76">
        <v>26</v>
      </c>
      <c r="C76" t="s">
        <v>8</v>
      </c>
      <c r="D76" t="s">
        <v>36</v>
      </c>
      <c r="E76" t="s">
        <v>20</v>
      </c>
      <c r="F76">
        <v>22.99</v>
      </c>
      <c r="G76" t="s">
        <v>15</v>
      </c>
      <c r="H76" t="s">
        <v>11</v>
      </c>
      <c r="I76">
        <v>53</v>
      </c>
      <c r="J76">
        <v>84</v>
      </c>
      <c r="K76" t="s">
        <v>23</v>
      </c>
      <c r="L76" t="str" cm="1">
        <f t="array" ref="L76">_xlfn.IFS(I76&lt;20,"Critical Danger",I76&lt;40,"Low Engagement",TRUE,"Healthy Binger")</f>
        <v>Healthy Binger</v>
      </c>
      <c r="M76" t="str" cm="1">
        <f t="array" ref="M76">_xlfn.IFS(J76&lt;30,"Skipper",J76&lt;70,"Casual Watcher",TRUE,"Finisher")</f>
        <v>Finisher</v>
      </c>
      <c r="N76" t="str">
        <f t="shared" si="2"/>
        <v>Active Revenue</v>
      </c>
    </row>
    <row r="77" spans="1:14" x14ac:dyDescent="0.3">
      <c r="A77" t="s">
        <v>108</v>
      </c>
      <c r="B77">
        <v>41</v>
      </c>
      <c r="C77" t="s">
        <v>9</v>
      </c>
      <c r="D77" t="s">
        <v>28</v>
      </c>
      <c r="E77" t="s">
        <v>19</v>
      </c>
      <c r="F77">
        <v>15.49</v>
      </c>
      <c r="G77" t="s">
        <v>16</v>
      </c>
      <c r="H77" t="s">
        <v>12</v>
      </c>
      <c r="I77">
        <v>18</v>
      </c>
      <c r="J77">
        <v>34</v>
      </c>
      <c r="K77" t="s">
        <v>22</v>
      </c>
      <c r="L77" t="str" cm="1">
        <f t="array" ref="L77">_xlfn.IFS(I77&lt;20,"Critical Danger",I77&lt;40,"Low Engagement",TRUE,"Healthy Binger")</f>
        <v>Critical Danger</v>
      </c>
      <c r="M77" t="str" cm="1">
        <f t="array" ref="M77">_xlfn.IFS(J77&lt;30,"Skipper",J77&lt;70,"Casual Watcher",TRUE,"Finisher")</f>
        <v>Casual Watcher</v>
      </c>
      <c r="N77" t="str">
        <f t="shared" si="2"/>
        <v>Lost Revenue</v>
      </c>
    </row>
    <row r="78" spans="1:14" x14ac:dyDescent="0.3">
      <c r="A78" t="s">
        <v>109</v>
      </c>
      <c r="B78">
        <v>31</v>
      </c>
      <c r="C78" t="s">
        <v>8</v>
      </c>
      <c r="D78" t="s">
        <v>30</v>
      </c>
      <c r="E78" t="s">
        <v>21</v>
      </c>
      <c r="F78">
        <v>9.99</v>
      </c>
      <c r="G78" t="s">
        <v>38</v>
      </c>
      <c r="H78" t="s">
        <v>13</v>
      </c>
      <c r="I78">
        <v>22</v>
      </c>
      <c r="J78">
        <v>47</v>
      </c>
      <c r="K78" t="s">
        <v>23</v>
      </c>
      <c r="L78" t="str" cm="1">
        <f t="array" ref="L78">_xlfn.IFS(I78&lt;20,"Critical Danger",I78&lt;40,"Low Engagement",TRUE,"Healthy Binger")</f>
        <v>Low Engagement</v>
      </c>
      <c r="M78" t="str" cm="1">
        <f t="array" ref="M78">_xlfn.IFS(J78&lt;30,"Skipper",J78&lt;70,"Casual Watcher",TRUE,"Finisher")</f>
        <v>Casual Watcher</v>
      </c>
      <c r="N78" t="str">
        <f t="shared" si="2"/>
        <v>Active Revenue</v>
      </c>
    </row>
    <row r="79" spans="1:14" x14ac:dyDescent="0.3">
      <c r="A79" t="s">
        <v>110</v>
      </c>
      <c r="B79">
        <v>53</v>
      </c>
      <c r="C79" t="s">
        <v>9</v>
      </c>
      <c r="D79" t="s">
        <v>32</v>
      </c>
      <c r="E79" t="s">
        <v>20</v>
      </c>
      <c r="F79">
        <v>22.99</v>
      </c>
      <c r="G79" t="s">
        <v>18</v>
      </c>
      <c r="H79" t="s">
        <v>10</v>
      </c>
      <c r="I79">
        <v>62</v>
      </c>
      <c r="J79">
        <v>86</v>
      </c>
      <c r="K79" t="s">
        <v>23</v>
      </c>
      <c r="L79" t="str" cm="1">
        <f t="array" ref="L79">_xlfn.IFS(I79&lt;20,"Critical Danger",I79&lt;40,"Low Engagement",TRUE,"Healthy Binger")</f>
        <v>Healthy Binger</v>
      </c>
      <c r="M79" t="str" cm="1">
        <f t="array" ref="M79">_xlfn.IFS(J79&lt;30,"Skipper",J79&lt;70,"Casual Watcher",TRUE,"Finisher")</f>
        <v>Finisher</v>
      </c>
      <c r="N79" t="str">
        <f t="shared" si="2"/>
        <v>Active Revenue</v>
      </c>
    </row>
    <row r="80" spans="1:14" x14ac:dyDescent="0.3">
      <c r="A80" t="s">
        <v>111</v>
      </c>
      <c r="B80">
        <v>25</v>
      </c>
      <c r="C80" t="s">
        <v>8</v>
      </c>
      <c r="D80" t="s">
        <v>34</v>
      </c>
      <c r="E80" t="s">
        <v>19</v>
      </c>
      <c r="F80">
        <v>15.49</v>
      </c>
      <c r="G80" t="s">
        <v>14</v>
      </c>
      <c r="H80" t="s">
        <v>11</v>
      </c>
      <c r="I80">
        <v>36</v>
      </c>
      <c r="J80">
        <v>67</v>
      </c>
      <c r="K80" t="s">
        <v>23</v>
      </c>
      <c r="L80" t="str" cm="1">
        <f t="array" ref="L80">_xlfn.IFS(I80&lt;20,"Critical Danger",I80&lt;40,"Low Engagement",TRUE,"Healthy Binger")</f>
        <v>Low Engagement</v>
      </c>
      <c r="M80" t="str" cm="1">
        <f t="array" ref="M80">_xlfn.IFS(J80&lt;30,"Skipper",J80&lt;70,"Casual Watcher",TRUE,"Finisher")</f>
        <v>Casual Watcher</v>
      </c>
      <c r="N80" t="str">
        <f t="shared" si="2"/>
        <v>Active Revenue</v>
      </c>
    </row>
    <row r="81" spans="1:14" x14ac:dyDescent="0.3">
      <c r="A81" t="s">
        <v>112</v>
      </c>
      <c r="B81">
        <v>36</v>
      </c>
      <c r="C81" t="s">
        <v>9</v>
      </c>
      <c r="D81" t="s">
        <v>36</v>
      </c>
      <c r="E81" t="s">
        <v>21</v>
      </c>
      <c r="F81">
        <v>9.99</v>
      </c>
      <c r="G81" t="s">
        <v>17</v>
      </c>
      <c r="H81" t="s">
        <v>12</v>
      </c>
      <c r="I81">
        <v>9</v>
      </c>
      <c r="J81">
        <v>20</v>
      </c>
      <c r="K81" t="s">
        <v>22</v>
      </c>
      <c r="L81" t="str" cm="1">
        <f t="array" ref="L81">_xlfn.IFS(I81&lt;20,"Critical Danger",I81&lt;40,"Low Engagement",TRUE,"Healthy Binger")</f>
        <v>Critical Danger</v>
      </c>
      <c r="M81" t="str" cm="1">
        <f t="array" ref="M81">_xlfn.IFS(J81&lt;30,"Skipper",J81&lt;70,"Casual Watcher",TRUE,"Finisher")</f>
        <v>Skipper</v>
      </c>
      <c r="N81" t="str">
        <f t="shared" si="2"/>
        <v>Lost Revenue</v>
      </c>
    </row>
    <row r="82" spans="1:14" x14ac:dyDescent="0.3">
      <c r="A82" t="s">
        <v>113</v>
      </c>
      <c r="B82">
        <v>35</v>
      </c>
      <c r="C82" t="s">
        <v>8</v>
      </c>
      <c r="D82" t="s">
        <v>28</v>
      </c>
      <c r="E82" t="s">
        <v>20</v>
      </c>
      <c r="F82">
        <v>22.99</v>
      </c>
      <c r="G82" t="s">
        <v>15</v>
      </c>
      <c r="H82" t="s">
        <v>13</v>
      </c>
      <c r="I82">
        <v>56</v>
      </c>
      <c r="J82">
        <v>83</v>
      </c>
      <c r="K82" t="s">
        <v>23</v>
      </c>
      <c r="L82" t="str" cm="1">
        <f t="array" ref="L82">_xlfn.IFS(I82&lt;20,"Critical Danger",I82&lt;40,"Low Engagement",TRUE,"Healthy Binger")</f>
        <v>Healthy Binger</v>
      </c>
      <c r="M82" t="str" cm="1">
        <f t="array" ref="M82">_xlfn.IFS(J82&lt;30,"Skipper",J82&lt;70,"Casual Watcher",TRUE,"Finisher")</f>
        <v>Finisher</v>
      </c>
      <c r="N82" t="str">
        <f t="shared" si="2"/>
        <v>Active Revenue</v>
      </c>
    </row>
    <row r="83" spans="1:14" x14ac:dyDescent="0.3">
      <c r="A83" t="s">
        <v>114</v>
      </c>
      <c r="B83">
        <v>52</v>
      </c>
      <c r="C83" t="s">
        <v>9</v>
      </c>
      <c r="D83" t="s">
        <v>30</v>
      </c>
      <c r="E83" t="s">
        <v>19</v>
      </c>
      <c r="F83">
        <v>15.49</v>
      </c>
      <c r="G83" t="s">
        <v>16</v>
      </c>
      <c r="H83" t="s">
        <v>10</v>
      </c>
      <c r="I83">
        <v>44</v>
      </c>
      <c r="J83">
        <v>72</v>
      </c>
      <c r="K83" t="s">
        <v>23</v>
      </c>
      <c r="L83" t="str" cm="1">
        <f t="array" ref="L83">_xlfn.IFS(I83&lt;20,"Critical Danger",I83&lt;40,"Low Engagement",TRUE,"Healthy Binger")</f>
        <v>Healthy Binger</v>
      </c>
      <c r="M83" t="str" cm="1">
        <f t="array" ref="M83">_xlfn.IFS(J83&lt;30,"Skipper",J83&lt;70,"Casual Watcher",TRUE,"Finisher")</f>
        <v>Finisher</v>
      </c>
      <c r="N83" t="str">
        <f t="shared" si="2"/>
        <v>Active Revenue</v>
      </c>
    </row>
    <row r="84" spans="1:14" x14ac:dyDescent="0.3">
      <c r="A84" t="s">
        <v>115</v>
      </c>
      <c r="B84">
        <v>27</v>
      </c>
      <c r="C84" t="s">
        <v>8</v>
      </c>
      <c r="D84" t="s">
        <v>32</v>
      </c>
      <c r="E84" t="s">
        <v>21</v>
      </c>
      <c r="F84">
        <v>9.99</v>
      </c>
      <c r="G84" t="s">
        <v>38</v>
      </c>
      <c r="H84" t="s">
        <v>11</v>
      </c>
      <c r="I84">
        <v>11</v>
      </c>
      <c r="J84">
        <v>26</v>
      </c>
      <c r="K84" t="s">
        <v>22</v>
      </c>
      <c r="L84" t="str" cm="1">
        <f t="array" ref="L84">_xlfn.IFS(I84&lt;20,"Critical Danger",I84&lt;40,"Low Engagement",TRUE,"Healthy Binger")</f>
        <v>Critical Danger</v>
      </c>
      <c r="M84" t="str" cm="1">
        <f t="array" ref="M84">_xlfn.IFS(J84&lt;30,"Skipper",J84&lt;70,"Casual Watcher",TRUE,"Finisher")</f>
        <v>Skipper</v>
      </c>
      <c r="N84" t="str">
        <f t="shared" si="2"/>
        <v>Lost Revenue</v>
      </c>
    </row>
    <row r="85" spans="1:14" x14ac:dyDescent="0.3">
      <c r="A85" t="s">
        <v>116</v>
      </c>
      <c r="B85">
        <v>42</v>
      </c>
      <c r="C85" t="s">
        <v>9</v>
      </c>
      <c r="D85" t="s">
        <v>34</v>
      </c>
      <c r="E85" t="s">
        <v>20</v>
      </c>
      <c r="F85">
        <v>22.99</v>
      </c>
      <c r="G85" t="s">
        <v>18</v>
      </c>
      <c r="H85" t="s">
        <v>12</v>
      </c>
      <c r="I85">
        <v>59</v>
      </c>
      <c r="J85">
        <v>85</v>
      </c>
      <c r="K85" t="s">
        <v>23</v>
      </c>
      <c r="L85" t="str" cm="1">
        <f t="array" ref="L85">_xlfn.IFS(I85&lt;20,"Critical Danger",I85&lt;40,"Low Engagement",TRUE,"Healthy Binger")</f>
        <v>Healthy Binger</v>
      </c>
      <c r="M85" t="str" cm="1">
        <f t="array" ref="M85">_xlfn.IFS(J85&lt;30,"Skipper",J85&lt;70,"Casual Watcher",TRUE,"Finisher")</f>
        <v>Finisher</v>
      </c>
      <c r="N85" t="str">
        <f t="shared" si="2"/>
        <v>Active Revenue</v>
      </c>
    </row>
    <row r="86" spans="1:14" x14ac:dyDescent="0.3">
      <c r="A86" t="s">
        <v>117</v>
      </c>
      <c r="B86">
        <v>31</v>
      </c>
      <c r="C86" t="s">
        <v>8</v>
      </c>
      <c r="D86" t="s">
        <v>36</v>
      </c>
      <c r="E86" t="s">
        <v>19</v>
      </c>
      <c r="F86">
        <v>15.49</v>
      </c>
      <c r="G86" t="s">
        <v>14</v>
      </c>
      <c r="H86" t="s">
        <v>13</v>
      </c>
      <c r="I86">
        <v>46</v>
      </c>
      <c r="J86">
        <v>75</v>
      </c>
      <c r="K86" t="s">
        <v>23</v>
      </c>
      <c r="L86" t="str" cm="1">
        <f t="array" ref="L86">_xlfn.IFS(I86&lt;20,"Critical Danger",I86&lt;40,"Low Engagement",TRUE,"Healthy Binger")</f>
        <v>Healthy Binger</v>
      </c>
      <c r="M86" t="str" cm="1">
        <f t="array" ref="M86">_xlfn.IFS(J86&lt;30,"Skipper",J86&lt;70,"Casual Watcher",TRUE,"Finisher")</f>
        <v>Finisher</v>
      </c>
      <c r="N86" t="str">
        <f t="shared" si="2"/>
        <v>Active Revenue</v>
      </c>
    </row>
    <row r="87" spans="1:14" x14ac:dyDescent="0.3">
      <c r="A87" t="s">
        <v>118</v>
      </c>
      <c r="B87">
        <v>22</v>
      </c>
      <c r="C87" t="s">
        <v>9</v>
      </c>
      <c r="D87" t="s">
        <v>28</v>
      </c>
      <c r="E87" t="s">
        <v>21</v>
      </c>
      <c r="F87">
        <v>9.99</v>
      </c>
      <c r="G87" t="s">
        <v>17</v>
      </c>
      <c r="H87" t="s">
        <v>10</v>
      </c>
      <c r="I87">
        <v>25</v>
      </c>
      <c r="J87">
        <v>53</v>
      </c>
      <c r="K87" t="s">
        <v>23</v>
      </c>
      <c r="L87" t="str" cm="1">
        <f t="array" ref="L87">_xlfn.IFS(I87&lt;20,"Critical Danger",I87&lt;40,"Low Engagement",TRUE,"Healthy Binger")</f>
        <v>Low Engagement</v>
      </c>
      <c r="M87" t="str" cm="1">
        <f t="array" ref="M87">_xlfn.IFS(J87&lt;30,"Skipper",J87&lt;70,"Casual Watcher",TRUE,"Finisher")</f>
        <v>Casual Watcher</v>
      </c>
      <c r="N87" t="str">
        <f t="shared" si="2"/>
        <v>Active Revenue</v>
      </c>
    </row>
    <row r="88" spans="1:14" x14ac:dyDescent="0.3">
      <c r="A88" t="s">
        <v>119</v>
      </c>
      <c r="B88">
        <v>58</v>
      </c>
      <c r="C88" t="s">
        <v>8</v>
      </c>
      <c r="D88" t="s">
        <v>30</v>
      </c>
      <c r="E88" t="s">
        <v>20</v>
      </c>
      <c r="F88">
        <v>22.99</v>
      </c>
      <c r="G88" t="s">
        <v>15</v>
      </c>
      <c r="H88" t="s">
        <v>11</v>
      </c>
      <c r="I88">
        <v>71</v>
      </c>
      <c r="J88">
        <v>94</v>
      </c>
      <c r="K88" t="s">
        <v>23</v>
      </c>
      <c r="L88" t="str" cm="1">
        <f t="array" ref="L88">_xlfn.IFS(I88&lt;20,"Critical Danger",I88&lt;40,"Low Engagement",TRUE,"Healthy Binger")</f>
        <v>Healthy Binger</v>
      </c>
      <c r="M88" t="str" cm="1">
        <f t="array" ref="M88">_xlfn.IFS(J88&lt;30,"Skipper",J88&lt;70,"Casual Watcher",TRUE,"Finisher")</f>
        <v>Finisher</v>
      </c>
      <c r="N88" t="str">
        <f t="shared" si="2"/>
        <v>Active Revenue</v>
      </c>
    </row>
    <row r="89" spans="1:14" x14ac:dyDescent="0.3">
      <c r="A89" t="s">
        <v>120</v>
      </c>
      <c r="B89">
        <v>39</v>
      </c>
      <c r="C89" t="s">
        <v>9</v>
      </c>
      <c r="D89" t="s">
        <v>32</v>
      </c>
      <c r="E89" t="s">
        <v>19</v>
      </c>
      <c r="F89">
        <v>15.49</v>
      </c>
      <c r="G89" t="s">
        <v>16</v>
      </c>
      <c r="H89" t="s">
        <v>12</v>
      </c>
      <c r="I89">
        <v>13</v>
      </c>
      <c r="J89">
        <v>29</v>
      </c>
      <c r="K89" t="s">
        <v>22</v>
      </c>
      <c r="L89" t="str" cm="1">
        <f t="array" ref="L89">_xlfn.IFS(I89&lt;20,"Critical Danger",I89&lt;40,"Low Engagement",TRUE,"Healthy Binger")</f>
        <v>Critical Danger</v>
      </c>
      <c r="M89" t="str" cm="1">
        <f t="array" ref="M89">_xlfn.IFS(J89&lt;30,"Skipper",J89&lt;70,"Casual Watcher",TRUE,"Finisher")</f>
        <v>Skipper</v>
      </c>
      <c r="N89" t="str">
        <f t="shared" si="2"/>
        <v>Lost Revenue</v>
      </c>
    </row>
    <row r="90" spans="1:14" x14ac:dyDescent="0.3">
      <c r="A90" t="s">
        <v>121</v>
      </c>
      <c r="B90">
        <v>24</v>
      </c>
      <c r="C90" t="s">
        <v>8</v>
      </c>
      <c r="D90" t="s">
        <v>34</v>
      </c>
      <c r="E90" t="s">
        <v>21</v>
      </c>
      <c r="F90">
        <v>9.99</v>
      </c>
      <c r="G90" t="s">
        <v>38</v>
      </c>
      <c r="H90" t="s">
        <v>13</v>
      </c>
      <c r="I90">
        <v>17</v>
      </c>
      <c r="J90">
        <v>39</v>
      </c>
      <c r="K90" t="s">
        <v>23</v>
      </c>
      <c r="L90" t="str" cm="1">
        <f t="array" ref="L90">_xlfn.IFS(I90&lt;20,"Critical Danger",I90&lt;40,"Low Engagement",TRUE,"Healthy Binger")</f>
        <v>Critical Danger</v>
      </c>
      <c r="M90" t="str" cm="1">
        <f t="array" ref="M90">_xlfn.IFS(J90&lt;30,"Skipper",J90&lt;70,"Casual Watcher",TRUE,"Finisher")</f>
        <v>Casual Watcher</v>
      </c>
      <c r="N90" t="str">
        <f t="shared" si="2"/>
        <v>Active Revenue</v>
      </c>
    </row>
    <row r="91" spans="1:14" x14ac:dyDescent="0.3">
      <c r="A91" t="s">
        <v>122</v>
      </c>
      <c r="B91">
        <v>48</v>
      </c>
      <c r="C91" t="s">
        <v>9</v>
      </c>
      <c r="D91" t="s">
        <v>36</v>
      </c>
      <c r="E91" t="s">
        <v>20</v>
      </c>
      <c r="F91">
        <v>22.99</v>
      </c>
      <c r="G91" t="s">
        <v>18</v>
      </c>
      <c r="H91" t="s">
        <v>10</v>
      </c>
      <c r="I91">
        <v>68</v>
      </c>
      <c r="J91">
        <v>91</v>
      </c>
      <c r="K91" t="s">
        <v>23</v>
      </c>
      <c r="L91" t="str" cm="1">
        <f t="array" ref="L91">_xlfn.IFS(I91&lt;20,"Critical Danger",I91&lt;40,"Low Engagement",TRUE,"Healthy Binger")</f>
        <v>Healthy Binger</v>
      </c>
      <c r="M91" t="str" cm="1">
        <f t="array" ref="M91">_xlfn.IFS(J91&lt;30,"Skipper",J91&lt;70,"Casual Watcher",TRUE,"Finisher")</f>
        <v>Finisher</v>
      </c>
      <c r="N91" t="str">
        <f t="shared" si="2"/>
        <v>Active Revenue</v>
      </c>
    </row>
    <row r="92" spans="1:14" x14ac:dyDescent="0.3">
      <c r="A92" t="s">
        <v>123</v>
      </c>
      <c r="B92">
        <v>38</v>
      </c>
      <c r="C92" t="s">
        <v>8</v>
      </c>
      <c r="D92" t="s">
        <v>28</v>
      </c>
      <c r="E92" t="s">
        <v>19</v>
      </c>
      <c r="F92">
        <v>15.49</v>
      </c>
      <c r="G92" t="s">
        <v>14</v>
      </c>
      <c r="H92" t="s">
        <v>11</v>
      </c>
      <c r="I92">
        <v>43</v>
      </c>
      <c r="J92">
        <v>74</v>
      </c>
      <c r="K92" t="s">
        <v>23</v>
      </c>
      <c r="L92" t="str" cm="1">
        <f t="array" ref="L92">_xlfn.IFS(I92&lt;20,"Critical Danger",I92&lt;40,"Low Engagement",TRUE,"Healthy Binger")</f>
        <v>Healthy Binger</v>
      </c>
      <c r="M92" t="str" cm="1">
        <f t="array" ref="M92">_xlfn.IFS(J92&lt;30,"Skipper",J92&lt;70,"Casual Watcher",TRUE,"Finisher")</f>
        <v>Finisher</v>
      </c>
      <c r="N92" t="str">
        <f t="shared" si="2"/>
        <v>Active Revenue</v>
      </c>
    </row>
    <row r="93" spans="1:14" x14ac:dyDescent="0.3">
      <c r="A93" t="s">
        <v>124</v>
      </c>
      <c r="B93">
        <v>54</v>
      </c>
      <c r="C93" t="s">
        <v>9</v>
      </c>
      <c r="D93" t="s">
        <v>30</v>
      </c>
      <c r="E93" t="s">
        <v>21</v>
      </c>
      <c r="F93">
        <v>9.99</v>
      </c>
      <c r="G93" t="s">
        <v>17</v>
      </c>
      <c r="H93" t="s">
        <v>12</v>
      </c>
      <c r="I93">
        <v>4</v>
      </c>
      <c r="J93">
        <v>9</v>
      </c>
      <c r="K93" t="s">
        <v>22</v>
      </c>
      <c r="L93" t="str" cm="1">
        <f t="array" ref="L93">_xlfn.IFS(I93&lt;20,"Critical Danger",I93&lt;40,"Low Engagement",TRUE,"Healthy Binger")</f>
        <v>Critical Danger</v>
      </c>
      <c r="M93" t="str" cm="1">
        <f t="array" ref="M93">_xlfn.IFS(J93&lt;30,"Skipper",J93&lt;70,"Casual Watcher",TRUE,"Finisher")</f>
        <v>Skipper</v>
      </c>
      <c r="N93" t="str">
        <f t="shared" si="2"/>
        <v>Lost Revenue</v>
      </c>
    </row>
    <row r="94" spans="1:14" x14ac:dyDescent="0.3">
      <c r="A94" t="s">
        <v>125</v>
      </c>
      <c r="B94">
        <v>29</v>
      </c>
      <c r="C94" t="s">
        <v>8</v>
      </c>
      <c r="D94" t="s">
        <v>32</v>
      </c>
      <c r="E94" t="s">
        <v>20</v>
      </c>
      <c r="F94">
        <v>22.99</v>
      </c>
      <c r="G94" t="s">
        <v>15</v>
      </c>
      <c r="H94" t="s">
        <v>13</v>
      </c>
      <c r="I94">
        <v>52</v>
      </c>
      <c r="J94">
        <v>82</v>
      </c>
      <c r="K94" t="s">
        <v>23</v>
      </c>
      <c r="L94" t="str" cm="1">
        <f t="array" ref="L94">_xlfn.IFS(I94&lt;20,"Critical Danger",I94&lt;40,"Low Engagement",TRUE,"Healthy Binger")</f>
        <v>Healthy Binger</v>
      </c>
      <c r="M94" t="str" cm="1">
        <f t="array" ref="M94">_xlfn.IFS(J94&lt;30,"Skipper",J94&lt;70,"Casual Watcher",TRUE,"Finisher")</f>
        <v>Finisher</v>
      </c>
      <c r="N94" t="str">
        <f t="shared" si="2"/>
        <v>Active Revenue</v>
      </c>
    </row>
    <row r="95" spans="1:14" x14ac:dyDescent="0.3">
      <c r="A95" t="s">
        <v>126</v>
      </c>
      <c r="B95">
        <v>44</v>
      </c>
      <c r="C95" t="s">
        <v>9</v>
      </c>
      <c r="D95" t="s">
        <v>34</v>
      </c>
      <c r="E95" t="s">
        <v>19</v>
      </c>
      <c r="F95">
        <v>15.49</v>
      </c>
      <c r="G95" t="s">
        <v>16</v>
      </c>
      <c r="H95" t="s">
        <v>10</v>
      </c>
      <c r="I95">
        <v>34</v>
      </c>
      <c r="J95">
        <v>62</v>
      </c>
      <c r="K95" t="s">
        <v>23</v>
      </c>
      <c r="L95" t="str" cm="1">
        <f t="array" ref="L95">_xlfn.IFS(I95&lt;20,"Critical Danger",I95&lt;40,"Low Engagement",TRUE,"Healthy Binger")</f>
        <v>Low Engagement</v>
      </c>
      <c r="M95" t="str" cm="1">
        <f t="array" ref="M95">_xlfn.IFS(J95&lt;30,"Skipper",J95&lt;70,"Casual Watcher",TRUE,"Finisher")</f>
        <v>Casual Watcher</v>
      </c>
      <c r="N95" t="str">
        <f t="shared" si="2"/>
        <v>Active Revenue</v>
      </c>
    </row>
    <row r="96" spans="1:14" x14ac:dyDescent="0.3">
      <c r="A96" t="s">
        <v>127</v>
      </c>
      <c r="B96">
        <v>33</v>
      </c>
      <c r="C96" t="s">
        <v>8</v>
      </c>
      <c r="D96" t="s">
        <v>36</v>
      </c>
      <c r="E96" t="s">
        <v>21</v>
      </c>
      <c r="F96">
        <v>9.99</v>
      </c>
      <c r="G96" t="s">
        <v>38</v>
      </c>
      <c r="H96" t="s">
        <v>11</v>
      </c>
      <c r="I96">
        <v>14</v>
      </c>
      <c r="J96">
        <v>30</v>
      </c>
      <c r="K96" t="s">
        <v>22</v>
      </c>
      <c r="L96" t="str" cm="1">
        <f t="array" ref="L96">_xlfn.IFS(I96&lt;20,"Critical Danger",I96&lt;40,"Low Engagement",TRUE,"Healthy Binger")</f>
        <v>Critical Danger</v>
      </c>
      <c r="M96" t="str" cm="1">
        <f t="array" ref="M96">_xlfn.IFS(J96&lt;30,"Skipper",J96&lt;70,"Casual Watcher",TRUE,"Finisher")</f>
        <v>Casual Watcher</v>
      </c>
      <c r="N96" t="str">
        <f t="shared" si="2"/>
        <v>Lost Revenue</v>
      </c>
    </row>
    <row r="97" spans="1:14" x14ac:dyDescent="0.3">
      <c r="A97" t="s">
        <v>128</v>
      </c>
      <c r="B97">
        <v>20</v>
      </c>
      <c r="C97" t="s">
        <v>9</v>
      </c>
      <c r="D97" t="s">
        <v>28</v>
      </c>
      <c r="E97" t="s">
        <v>20</v>
      </c>
      <c r="F97">
        <v>22.99</v>
      </c>
      <c r="G97" t="s">
        <v>18</v>
      </c>
      <c r="H97" t="s">
        <v>12</v>
      </c>
      <c r="I97">
        <v>60</v>
      </c>
      <c r="J97">
        <v>86</v>
      </c>
      <c r="K97" t="s">
        <v>23</v>
      </c>
      <c r="L97" t="str" cm="1">
        <f t="array" ref="L97">_xlfn.IFS(I97&lt;20,"Critical Danger",I97&lt;40,"Low Engagement",TRUE,"Healthy Binger")</f>
        <v>Healthy Binger</v>
      </c>
      <c r="M97" t="str" cm="1">
        <f t="array" ref="M97">_xlfn.IFS(J97&lt;30,"Skipper",J97&lt;70,"Casual Watcher",TRUE,"Finisher")</f>
        <v>Finisher</v>
      </c>
      <c r="N97" t="str">
        <f t="shared" si="2"/>
        <v>Active Revenue</v>
      </c>
    </row>
    <row r="98" spans="1:14" x14ac:dyDescent="0.3">
      <c r="A98" t="s">
        <v>129</v>
      </c>
      <c r="B98">
        <v>57</v>
      </c>
      <c r="C98" t="s">
        <v>8</v>
      </c>
      <c r="D98" t="s">
        <v>30</v>
      </c>
      <c r="E98" t="s">
        <v>19</v>
      </c>
      <c r="F98">
        <v>15.49</v>
      </c>
      <c r="G98" t="s">
        <v>14</v>
      </c>
      <c r="H98" t="s">
        <v>13</v>
      </c>
      <c r="I98">
        <v>45</v>
      </c>
      <c r="J98">
        <v>74</v>
      </c>
      <c r="K98" t="s">
        <v>23</v>
      </c>
      <c r="L98" t="str" cm="1">
        <f t="array" ref="L98">_xlfn.IFS(I98&lt;20,"Critical Danger",I98&lt;40,"Low Engagement",TRUE,"Healthy Binger")</f>
        <v>Healthy Binger</v>
      </c>
      <c r="M98" t="str" cm="1">
        <f t="array" ref="M98">_xlfn.IFS(J98&lt;30,"Skipper",J98&lt;70,"Casual Watcher",TRUE,"Finisher")</f>
        <v>Finisher</v>
      </c>
      <c r="N98" t="str">
        <f t="shared" si="2"/>
        <v>Active Revenue</v>
      </c>
    </row>
    <row r="99" spans="1:14" x14ac:dyDescent="0.3">
      <c r="A99" t="s">
        <v>130</v>
      </c>
      <c r="B99">
        <v>41</v>
      </c>
      <c r="C99" t="s">
        <v>9</v>
      </c>
      <c r="D99" t="s">
        <v>32</v>
      </c>
      <c r="E99" t="s">
        <v>21</v>
      </c>
      <c r="F99">
        <v>9.99</v>
      </c>
      <c r="G99" t="s">
        <v>17</v>
      </c>
      <c r="H99" t="s">
        <v>10</v>
      </c>
      <c r="I99">
        <v>21</v>
      </c>
      <c r="J99">
        <v>48</v>
      </c>
      <c r="K99" t="s">
        <v>23</v>
      </c>
      <c r="L99" t="str" cm="1">
        <f t="array" ref="L99">_xlfn.IFS(I99&lt;20,"Critical Danger",I99&lt;40,"Low Engagement",TRUE,"Healthy Binger")</f>
        <v>Low Engagement</v>
      </c>
      <c r="M99" t="str" cm="1">
        <f t="array" ref="M99">_xlfn.IFS(J99&lt;30,"Skipper",J99&lt;70,"Casual Watcher",TRUE,"Finisher")</f>
        <v>Casual Watcher</v>
      </c>
      <c r="N99" t="str">
        <f t="shared" si="2"/>
        <v>Active Revenue</v>
      </c>
    </row>
    <row r="100" spans="1:14" x14ac:dyDescent="0.3">
      <c r="A100" t="s">
        <v>131</v>
      </c>
      <c r="B100">
        <v>36</v>
      </c>
      <c r="C100" t="s">
        <v>8</v>
      </c>
      <c r="D100" t="s">
        <v>34</v>
      </c>
      <c r="E100" t="s">
        <v>20</v>
      </c>
      <c r="F100">
        <v>22.99</v>
      </c>
      <c r="G100" t="s">
        <v>15</v>
      </c>
      <c r="H100" t="s">
        <v>11</v>
      </c>
      <c r="I100">
        <v>67</v>
      </c>
      <c r="J100">
        <v>91</v>
      </c>
      <c r="K100" t="s">
        <v>23</v>
      </c>
      <c r="L100" t="str" cm="1">
        <f t="array" ref="L100">_xlfn.IFS(I100&lt;20,"Critical Danger",I100&lt;40,"Low Engagement",TRUE,"Healthy Binger")</f>
        <v>Healthy Binger</v>
      </c>
      <c r="M100" t="str" cm="1">
        <f t="array" ref="M100">_xlfn.IFS(J100&lt;30,"Skipper",J100&lt;70,"Casual Watcher",TRUE,"Finisher")</f>
        <v>Finisher</v>
      </c>
      <c r="N100" t="str">
        <f t="shared" si="2"/>
        <v>Active Revenue</v>
      </c>
    </row>
    <row r="101" spans="1:14" x14ac:dyDescent="0.3">
      <c r="A101" t="s">
        <v>132</v>
      </c>
      <c r="B101">
        <v>50</v>
      </c>
      <c r="C101" t="s">
        <v>9</v>
      </c>
      <c r="D101" t="s">
        <v>36</v>
      </c>
      <c r="E101" t="s">
        <v>19</v>
      </c>
      <c r="F101">
        <v>15.49</v>
      </c>
      <c r="G101" t="s">
        <v>16</v>
      </c>
      <c r="H101" t="s">
        <v>12</v>
      </c>
      <c r="I101">
        <v>10</v>
      </c>
      <c r="J101">
        <v>23</v>
      </c>
      <c r="K101" t="s">
        <v>22</v>
      </c>
      <c r="L101" t="str" cm="1">
        <f t="array" ref="L101">_xlfn.IFS(I101&lt;20,"Critical Danger",I101&lt;40,"Low Engagement",TRUE,"Healthy Binger")</f>
        <v>Critical Danger</v>
      </c>
      <c r="M101" t="str" cm="1">
        <f t="array" ref="M101">_xlfn.IFS(J101&lt;30,"Skipper",J101&lt;70,"Casual Watcher",TRUE,"Finisher")</f>
        <v>Skipper</v>
      </c>
      <c r="N101" t="str">
        <f t="shared" si="2"/>
        <v>Lost Revenue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E28D-C875-4BF6-A2D7-0EB67C5CB985}">
  <dimension ref="A2:F10"/>
  <sheetViews>
    <sheetView workbookViewId="0">
      <selection activeCell="T6" sqref="T6"/>
    </sheetView>
  </sheetViews>
  <sheetFormatPr defaultRowHeight="14.4" x14ac:dyDescent="0.3"/>
  <cols>
    <col min="1" max="1" width="22.33203125" bestFit="1" customWidth="1"/>
    <col min="2" max="2" width="15.5546875" bestFit="1" customWidth="1"/>
    <col min="3" max="3" width="8.21875" bestFit="1" customWidth="1"/>
    <col min="4" max="4" width="10.77734375" bestFit="1" customWidth="1"/>
  </cols>
  <sheetData>
    <row r="2" spans="1:6" x14ac:dyDescent="0.3">
      <c r="F2" t="s">
        <v>162</v>
      </c>
    </row>
    <row r="3" spans="1:6" x14ac:dyDescent="0.3">
      <c r="A3" s="6" t="s">
        <v>147</v>
      </c>
      <c r="B3" s="6" t="s">
        <v>148</v>
      </c>
      <c r="F3" t="s">
        <v>161</v>
      </c>
    </row>
    <row r="4" spans="1:6" x14ac:dyDescent="0.3">
      <c r="A4" s="6" t="s">
        <v>144</v>
      </c>
      <c r="B4" t="s">
        <v>23</v>
      </c>
      <c r="C4" t="s">
        <v>22</v>
      </c>
      <c r="D4" t="s">
        <v>145</v>
      </c>
    </row>
    <row r="5" spans="1:6" x14ac:dyDescent="0.3">
      <c r="A5" s="7" t="s">
        <v>36</v>
      </c>
      <c r="B5" s="10">
        <v>0.5</v>
      </c>
      <c r="C5" s="10">
        <v>0.5</v>
      </c>
      <c r="D5" s="10">
        <v>1</v>
      </c>
      <c r="F5" s="1" t="s">
        <v>149</v>
      </c>
    </row>
    <row r="6" spans="1:6" x14ac:dyDescent="0.3">
      <c r="A6" s="7" t="s">
        <v>34</v>
      </c>
      <c r="B6" s="10">
        <v>0.8</v>
      </c>
      <c r="C6" s="10">
        <v>0.2</v>
      </c>
      <c r="D6" s="10">
        <v>1</v>
      </c>
    </row>
    <row r="7" spans="1:6" x14ac:dyDescent="0.3">
      <c r="A7" s="7" t="s">
        <v>30</v>
      </c>
      <c r="B7" s="10">
        <v>0.75</v>
      </c>
      <c r="C7" s="10">
        <v>0.25</v>
      </c>
      <c r="D7" s="10">
        <v>1</v>
      </c>
    </row>
    <row r="8" spans="1:6" x14ac:dyDescent="0.3">
      <c r="A8" s="7" t="s">
        <v>32</v>
      </c>
      <c r="B8" s="10">
        <v>0.7</v>
      </c>
      <c r="C8" s="10">
        <v>0.3</v>
      </c>
      <c r="D8" s="10">
        <v>1</v>
      </c>
    </row>
    <row r="9" spans="1:6" x14ac:dyDescent="0.3">
      <c r="A9" s="7" t="s">
        <v>28</v>
      </c>
      <c r="B9" s="10">
        <v>0.85</v>
      </c>
      <c r="C9" s="10">
        <v>0.15</v>
      </c>
      <c r="D9" s="10">
        <v>1</v>
      </c>
    </row>
    <row r="10" spans="1:6" x14ac:dyDescent="0.3">
      <c r="A10" s="7" t="s">
        <v>145</v>
      </c>
      <c r="B10" s="10">
        <v>0.72</v>
      </c>
      <c r="C10" s="10">
        <v>0.28000000000000003</v>
      </c>
      <c r="D10" s="1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C28FE-A1C0-4AF6-BB7E-F94672788006}">
  <dimension ref="A1:E10"/>
  <sheetViews>
    <sheetView workbookViewId="0">
      <selection activeCell="M17" sqref="M17"/>
    </sheetView>
  </sheetViews>
  <sheetFormatPr defaultRowHeight="14.4" x14ac:dyDescent="0.3"/>
  <cols>
    <col min="1" max="1" width="14.6640625" bestFit="1" customWidth="1"/>
    <col min="2" max="2" width="15.44140625" bestFit="1" customWidth="1"/>
  </cols>
  <sheetData>
    <row r="1" spans="1:5" x14ac:dyDescent="0.3">
      <c r="A1" s="6" t="s">
        <v>133</v>
      </c>
      <c r="B1" t="s">
        <v>164</v>
      </c>
    </row>
    <row r="2" spans="1:5" x14ac:dyDescent="0.3">
      <c r="E2" s="1"/>
    </row>
    <row r="3" spans="1:5" x14ac:dyDescent="0.3">
      <c r="A3" s="6" t="s">
        <v>144</v>
      </c>
      <c r="B3" t="s">
        <v>153</v>
      </c>
      <c r="E3" s="1" t="s">
        <v>146</v>
      </c>
    </row>
    <row r="4" spans="1:5" x14ac:dyDescent="0.3">
      <c r="A4" s="7" t="s">
        <v>17</v>
      </c>
      <c r="B4" s="33">
        <v>0</v>
      </c>
    </row>
    <row r="5" spans="1:5" x14ac:dyDescent="0.3">
      <c r="A5" s="7" t="s">
        <v>38</v>
      </c>
      <c r="B5" s="33">
        <v>1</v>
      </c>
    </row>
    <row r="6" spans="1:5" x14ac:dyDescent="0.3">
      <c r="A6" s="7" t="s">
        <v>16</v>
      </c>
      <c r="B6" s="33">
        <v>4</v>
      </c>
    </row>
    <row r="7" spans="1:5" x14ac:dyDescent="0.3">
      <c r="A7" s="7" t="s">
        <v>14</v>
      </c>
      <c r="B7" s="33">
        <v>12</v>
      </c>
    </row>
    <row r="8" spans="1:5" x14ac:dyDescent="0.3">
      <c r="A8" s="7" t="s">
        <v>15</v>
      </c>
      <c r="B8" s="33">
        <v>16</v>
      </c>
    </row>
    <row r="9" spans="1:5" x14ac:dyDescent="0.3">
      <c r="A9" s="7" t="s">
        <v>18</v>
      </c>
      <c r="B9" s="33">
        <v>16</v>
      </c>
    </row>
    <row r="10" spans="1:5" x14ac:dyDescent="0.3">
      <c r="A10" s="7" t="s">
        <v>145</v>
      </c>
      <c r="B10" s="33">
        <v>49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BF3D1-6FD8-4DDF-B33B-E1E2EA634E52}">
  <dimension ref="A3:B7"/>
  <sheetViews>
    <sheetView zoomScaleNormal="100" workbookViewId="0">
      <selection activeCell="J23" sqref="J23"/>
    </sheetView>
  </sheetViews>
  <sheetFormatPr defaultRowHeight="14.4" x14ac:dyDescent="0.3"/>
  <cols>
    <col min="1" max="1" width="12.5546875" bestFit="1" customWidth="1"/>
    <col min="2" max="2" width="24.6640625" bestFit="1" customWidth="1"/>
  </cols>
  <sheetData>
    <row r="3" spans="1:2" x14ac:dyDescent="0.3">
      <c r="A3" s="6" t="s">
        <v>144</v>
      </c>
      <c r="B3" s="8" t="s">
        <v>152</v>
      </c>
    </row>
    <row r="4" spans="1:2" x14ac:dyDescent="0.3">
      <c r="A4" s="7" t="s">
        <v>21</v>
      </c>
      <c r="B4" s="2">
        <v>329.67000000000013</v>
      </c>
    </row>
    <row r="5" spans="1:2" x14ac:dyDescent="0.3">
      <c r="A5" s="7" t="s">
        <v>20</v>
      </c>
      <c r="B5" s="2">
        <v>758.67000000000019</v>
      </c>
    </row>
    <row r="6" spans="1:2" x14ac:dyDescent="0.3">
      <c r="A6" s="7" t="s">
        <v>19</v>
      </c>
      <c r="B6" s="2">
        <v>526.6600000000002</v>
      </c>
    </row>
    <row r="7" spans="1:2" x14ac:dyDescent="0.3">
      <c r="A7" s="7" t="s">
        <v>145</v>
      </c>
      <c r="B7" s="2">
        <v>1615.0000000000005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00980-EF71-408C-B515-7C84E06DF290}">
  <dimension ref="A3:G9"/>
  <sheetViews>
    <sheetView workbookViewId="0">
      <selection activeCell="J23" sqref="J23"/>
    </sheetView>
  </sheetViews>
  <sheetFormatPr defaultRowHeight="14.4" x14ac:dyDescent="0.3"/>
  <cols>
    <col min="1" max="1" width="15.44140625" bestFit="1" customWidth="1"/>
    <col min="2" max="2" width="15.5546875" bestFit="1" customWidth="1"/>
    <col min="3" max="3" width="8.21875" bestFit="1" customWidth="1"/>
    <col min="4" max="4" width="10.77734375" bestFit="1" customWidth="1"/>
  </cols>
  <sheetData>
    <row r="3" spans="1:7" x14ac:dyDescent="0.3">
      <c r="A3" s="6" t="s">
        <v>153</v>
      </c>
      <c r="B3" s="6" t="s">
        <v>148</v>
      </c>
    </row>
    <row r="4" spans="1:7" x14ac:dyDescent="0.3">
      <c r="A4" s="6" t="s">
        <v>144</v>
      </c>
      <c r="B4" t="s">
        <v>23</v>
      </c>
      <c r="C4" t="s">
        <v>22</v>
      </c>
      <c r="D4" t="s">
        <v>145</v>
      </c>
      <c r="G4" s="1" t="s">
        <v>154</v>
      </c>
    </row>
    <row r="5" spans="1:7" x14ac:dyDescent="0.3">
      <c r="A5" s="7" t="s">
        <v>13</v>
      </c>
      <c r="B5" s="33">
        <v>22</v>
      </c>
      <c r="C5" s="33">
        <v>2</v>
      </c>
      <c r="D5" s="33">
        <v>24</v>
      </c>
    </row>
    <row r="6" spans="1:7" x14ac:dyDescent="0.3">
      <c r="A6" s="7" t="s">
        <v>10</v>
      </c>
      <c r="B6" s="33">
        <v>12</v>
      </c>
      <c r="C6" s="33">
        <v>13</v>
      </c>
      <c r="D6" s="33">
        <v>25</v>
      </c>
    </row>
    <row r="7" spans="1:7" x14ac:dyDescent="0.3">
      <c r="A7" s="7" t="s">
        <v>11</v>
      </c>
      <c r="B7" s="33">
        <v>24</v>
      </c>
      <c r="C7" s="33">
        <v>4</v>
      </c>
      <c r="D7" s="33">
        <v>28</v>
      </c>
    </row>
    <row r="8" spans="1:7" x14ac:dyDescent="0.3">
      <c r="A8" s="7" t="s">
        <v>12</v>
      </c>
      <c r="B8" s="33">
        <v>14</v>
      </c>
      <c r="C8" s="33">
        <v>9</v>
      </c>
      <c r="D8" s="33">
        <v>23</v>
      </c>
    </row>
    <row r="9" spans="1:7" x14ac:dyDescent="0.3">
      <c r="A9" s="7" t="s">
        <v>145</v>
      </c>
      <c r="B9" s="33">
        <v>72</v>
      </c>
      <c r="C9" s="33">
        <v>28</v>
      </c>
      <c r="D9" s="33">
        <v>100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C01C6-8985-40B0-A2D2-AC68E2A017A1}">
  <dimension ref="A3:H10"/>
  <sheetViews>
    <sheetView topLeftCell="A3" workbookViewId="0">
      <selection activeCell="J4" sqref="J4"/>
    </sheetView>
  </sheetViews>
  <sheetFormatPr defaultRowHeight="14.4" x14ac:dyDescent="0.3"/>
  <cols>
    <col min="1" max="1" width="15.44140625" bestFit="1" customWidth="1"/>
    <col min="2" max="2" width="15.5546875" bestFit="1" customWidth="1"/>
    <col min="3" max="3" width="8.21875" bestFit="1" customWidth="1"/>
    <col min="4" max="4" width="10.77734375" bestFit="1" customWidth="1"/>
  </cols>
  <sheetData>
    <row r="3" spans="1:8" x14ac:dyDescent="0.3">
      <c r="A3" s="6" t="s">
        <v>153</v>
      </c>
      <c r="B3" s="6" t="s">
        <v>148</v>
      </c>
    </row>
    <row r="4" spans="1:8" x14ac:dyDescent="0.3">
      <c r="A4" s="6" t="s">
        <v>144</v>
      </c>
      <c r="B4" t="s">
        <v>23</v>
      </c>
      <c r="C4" t="s">
        <v>22</v>
      </c>
      <c r="D4" t="s">
        <v>145</v>
      </c>
      <c r="H4" t="s">
        <v>163</v>
      </c>
    </row>
    <row r="5" spans="1:8" x14ac:dyDescent="0.3">
      <c r="A5" s="7" t="s">
        <v>155</v>
      </c>
      <c r="B5" s="33">
        <v>20</v>
      </c>
      <c r="C5" s="33">
        <v>4</v>
      </c>
      <c r="D5" s="33">
        <v>24</v>
      </c>
    </row>
    <row r="6" spans="1:8" x14ac:dyDescent="0.3">
      <c r="A6" s="7" t="s">
        <v>156</v>
      </c>
      <c r="B6" s="33">
        <v>22</v>
      </c>
      <c r="C6" s="33">
        <v>9</v>
      </c>
      <c r="D6" s="33">
        <v>31</v>
      </c>
    </row>
    <row r="7" spans="1:8" x14ac:dyDescent="0.3">
      <c r="A7" s="7" t="s">
        <v>157</v>
      </c>
      <c r="B7" s="33">
        <v>16</v>
      </c>
      <c r="C7" s="33">
        <v>6</v>
      </c>
      <c r="D7" s="33">
        <v>22</v>
      </c>
      <c r="G7" t="s">
        <v>160</v>
      </c>
    </row>
    <row r="8" spans="1:8" x14ac:dyDescent="0.3">
      <c r="A8" s="7" t="s">
        <v>158</v>
      </c>
      <c r="B8" s="33">
        <v>13</v>
      </c>
      <c r="C8" s="33">
        <v>6</v>
      </c>
      <c r="D8" s="33">
        <v>19</v>
      </c>
    </row>
    <row r="9" spans="1:8" x14ac:dyDescent="0.3">
      <c r="A9" s="7" t="s">
        <v>159</v>
      </c>
      <c r="B9" s="33">
        <v>1</v>
      </c>
      <c r="C9" s="33">
        <v>3</v>
      </c>
      <c r="D9" s="33">
        <v>4</v>
      </c>
    </row>
    <row r="10" spans="1:8" x14ac:dyDescent="0.3">
      <c r="A10" s="7" t="s">
        <v>145</v>
      </c>
      <c r="B10" s="33">
        <v>72</v>
      </c>
      <c r="C10" s="33">
        <v>28</v>
      </c>
      <c r="D10" s="33">
        <v>100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1185-AF3D-4D3B-B159-927BB7B09953}">
  <dimension ref="A1:Z48"/>
  <sheetViews>
    <sheetView showGridLines="0" tabSelected="1" zoomScaleNormal="100" workbookViewId="0">
      <selection activeCell="W48" sqref="W48"/>
    </sheetView>
  </sheetViews>
  <sheetFormatPr defaultRowHeight="14.4" x14ac:dyDescent="0.3"/>
  <cols>
    <col min="1" max="1" width="2.88671875" customWidth="1"/>
    <col min="20" max="20" width="13.21875" customWidth="1"/>
    <col min="21" max="21" width="6.21875" customWidth="1"/>
    <col min="24" max="24" width="5.109375" customWidth="1"/>
    <col min="25" max="25" width="2" customWidth="1"/>
    <col min="26" max="26" width="6.21875" customWidth="1"/>
  </cols>
  <sheetData>
    <row r="1" spans="1:26" ht="15" thickBot="1" x14ac:dyDescent="0.35">
      <c r="A1" s="9"/>
      <c r="B1" s="9"/>
      <c r="C1" s="9"/>
      <c r="D1" s="9"/>
      <c r="E1" s="9"/>
      <c r="F1" s="9"/>
      <c r="G1" s="9"/>
      <c r="H1" s="9"/>
      <c r="I1" s="9"/>
      <c r="J1" s="9"/>
      <c r="K1" s="9"/>
      <c r="L1" s="9"/>
      <c r="M1" s="9"/>
      <c r="N1" s="9"/>
      <c r="O1" s="9"/>
      <c r="P1" s="9"/>
      <c r="Q1" s="9"/>
      <c r="R1" s="9"/>
      <c r="S1" s="9"/>
      <c r="T1" s="9"/>
      <c r="U1" s="9"/>
      <c r="V1" s="9"/>
      <c r="W1" s="9"/>
      <c r="X1" s="9"/>
      <c r="Y1" s="9"/>
      <c r="Z1" s="9"/>
    </row>
    <row r="2" spans="1:26" ht="38.4" customHeight="1" thickTop="1" thickBot="1" x14ac:dyDescent="0.75">
      <c r="A2" s="9"/>
      <c r="B2" s="14" t="s">
        <v>150</v>
      </c>
      <c r="C2" s="15"/>
      <c r="D2" s="15"/>
      <c r="E2" s="15"/>
      <c r="F2" s="15"/>
      <c r="G2" s="15"/>
      <c r="H2" s="15"/>
      <c r="I2" s="15"/>
      <c r="J2" s="15"/>
      <c r="K2" s="15"/>
      <c r="L2" s="15"/>
      <c r="M2" s="15"/>
      <c r="N2" s="15"/>
      <c r="O2" s="15"/>
      <c r="P2" s="15"/>
      <c r="Q2" s="15"/>
      <c r="R2" s="15"/>
      <c r="S2" s="15"/>
      <c r="T2" s="15"/>
      <c r="U2" s="15"/>
      <c r="V2" s="15"/>
      <c r="W2" s="15"/>
      <c r="X2" s="16"/>
      <c r="Y2" s="9"/>
      <c r="Z2" s="9"/>
    </row>
    <row r="3" spans="1:26" ht="15.6" thickTop="1" thickBot="1" x14ac:dyDescent="0.35">
      <c r="A3" s="9"/>
      <c r="B3" s="9"/>
      <c r="C3" s="9"/>
      <c r="D3" s="9"/>
      <c r="E3" s="9"/>
      <c r="F3" s="9"/>
      <c r="G3" s="11"/>
      <c r="H3" s="9"/>
      <c r="I3" s="9"/>
      <c r="J3" s="9"/>
      <c r="K3" s="9"/>
      <c r="L3" s="9"/>
      <c r="M3" s="9"/>
      <c r="N3" s="9"/>
      <c r="O3" s="9"/>
      <c r="P3" s="9"/>
      <c r="Q3" s="9"/>
      <c r="R3" s="9"/>
      <c r="S3" s="9"/>
      <c r="T3" s="9"/>
      <c r="U3" s="9"/>
      <c r="V3" s="9"/>
      <c r="W3" s="9"/>
      <c r="X3" s="9"/>
      <c r="Y3" s="9"/>
      <c r="Z3" s="9"/>
    </row>
    <row r="4" spans="1:26" ht="25.2" customHeight="1" thickTop="1" x14ac:dyDescent="0.35">
      <c r="A4" s="9"/>
      <c r="B4" s="17" t="s">
        <v>141</v>
      </c>
      <c r="C4" s="18"/>
      <c r="D4" s="18"/>
      <c r="E4" s="19"/>
      <c r="F4" s="9"/>
      <c r="G4" s="23" t="s">
        <v>142</v>
      </c>
      <c r="H4" s="18"/>
      <c r="I4" s="18"/>
      <c r="J4" s="19"/>
      <c r="K4" s="12"/>
      <c r="L4" s="23" t="s">
        <v>143</v>
      </c>
      <c r="M4" s="18"/>
      <c r="N4" s="18"/>
      <c r="O4" s="19"/>
      <c r="P4" s="12"/>
      <c r="Q4" s="30" t="s">
        <v>151</v>
      </c>
      <c r="R4" s="31"/>
      <c r="S4" s="31"/>
      <c r="T4" s="32"/>
      <c r="U4" s="12"/>
      <c r="V4" s="9"/>
      <c r="W4" s="9"/>
      <c r="X4" s="9"/>
      <c r="Y4" s="9"/>
      <c r="Z4" s="9"/>
    </row>
    <row r="5" spans="1:26" ht="27.6" customHeight="1" thickBot="1" x14ac:dyDescent="0.35">
      <c r="A5" s="9"/>
      <c r="B5" s="20">
        <f>GETPIVOTDATA("Count of User_ID",KPI!$A$3,"Account_Status","Active")</f>
        <v>72</v>
      </c>
      <c r="C5" s="21"/>
      <c r="D5" s="21"/>
      <c r="E5" s="22"/>
      <c r="F5" s="9"/>
      <c r="G5" s="24">
        <f>GETPIVOTDATA("Count of User_ID",KPI!$A$3,"Account_Status","Churned")/GETPIVOTDATA("Count of User_ID",KPI!$A$3)</f>
        <v>0.28000000000000003</v>
      </c>
      <c r="H5" s="25"/>
      <c r="I5" s="25"/>
      <c r="J5" s="26"/>
      <c r="K5" s="9"/>
      <c r="L5" s="27">
        <f>GETPIVOTDATA("Sum of Monthly_Price_USD",KPI!$A$3,"Account_Status","Churned")</f>
        <v>340.22000000000014</v>
      </c>
      <c r="M5" s="28"/>
      <c r="N5" s="28"/>
      <c r="O5" s="29"/>
      <c r="P5" s="12"/>
      <c r="Q5" s="24">
        <f>GETPIVOTDATA("Sum of Content_Completion_Rate_Pct",KPI!$A$3,"Account_Status","Active")/GETPIVOTDATA("Count of User_ID",KPI!$A$3,"Account_Status","Active")/100</f>
        <v>0.73319444444444448</v>
      </c>
      <c r="R5" s="25"/>
      <c r="S5" s="25"/>
      <c r="T5" s="26"/>
      <c r="U5" s="12"/>
      <c r="V5" s="9"/>
      <c r="W5" s="9"/>
      <c r="X5" s="9"/>
      <c r="Y5" s="9"/>
      <c r="Z5" s="9"/>
    </row>
    <row r="6" spans="1:26" ht="15" thickTop="1" x14ac:dyDescent="0.3">
      <c r="A6" s="9"/>
      <c r="B6" s="9"/>
      <c r="C6" s="9"/>
      <c r="D6" s="9"/>
      <c r="E6" s="9"/>
      <c r="F6" s="9"/>
      <c r="G6" s="9"/>
      <c r="H6" s="9"/>
      <c r="I6" s="9"/>
      <c r="J6" s="9"/>
      <c r="K6" s="9"/>
      <c r="L6" s="9"/>
      <c r="M6" s="9"/>
      <c r="N6" s="9"/>
      <c r="O6" s="9"/>
      <c r="P6" s="9"/>
      <c r="Q6" s="9"/>
      <c r="R6" s="9"/>
      <c r="S6" s="9"/>
      <c r="T6" s="9"/>
      <c r="U6" s="9"/>
      <c r="V6" s="9"/>
      <c r="W6" s="9"/>
      <c r="X6" s="9"/>
      <c r="Y6" s="9"/>
      <c r="Z6" s="9"/>
    </row>
    <row r="7" spans="1:26" x14ac:dyDescent="0.3">
      <c r="A7" s="9"/>
      <c r="B7" s="9"/>
      <c r="C7" s="9"/>
      <c r="D7" s="9"/>
      <c r="E7" s="9"/>
      <c r="F7" s="9"/>
      <c r="G7" s="9"/>
      <c r="H7" s="9"/>
      <c r="I7" s="9"/>
      <c r="J7" s="9"/>
      <c r="K7" s="9"/>
      <c r="L7" s="9"/>
      <c r="M7" s="9"/>
      <c r="N7" s="9"/>
      <c r="O7" s="9"/>
      <c r="P7" s="9"/>
      <c r="Q7" s="9"/>
      <c r="R7" s="9"/>
      <c r="S7" s="9"/>
      <c r="T7" s="9"/>
      <c r="U7" s="9"/>
      <c r="V7" s="9"/>
      <c r="W7" s="9"/>
      <c r="X7" s="9"/>
      <c r="Y7" s="9"/>
      <c r="Z7" s="9"/>
    </row>
    <row r="8" spans="1:26" x14ac:dyDescent="0.3">
      <c r="A8" s="9"/>
      <c r="B8" s="9"/>
      <c r="C8" s="9"/>
      <c r="D8" s="9"/>
      <c r="E8" s="9"/>
      <c r="F8" s="9"/>
      <c r="G8" s="9"/>
      <c r="H8" s="9"/>
      <c r="I8" s="9"/>
      <c r="J8" s="9"/>
      <c r="K8" s="9"/>
      <c r="L8" s="9"/>
      <c r="M8" s="9"/>
      <c r="N8" s="9"/>
      <c r="O8" s="9"/>
      <c r="P8" s="9"/>
      <c r="Q8" s="9"/>
      <c r="R8" s="9"/>
      <c r="S8" s="9"/>
      <c r="T8" s="9"/>
      <c r="U8" s="9"/>
      <c r="V8" s="9"/>
      <c r="W8" s="9"/>
      <c r="X8" s="9"/>
      <c r="Y8" s="9"/>
      <c r="Z8" s="9"/>
    </row>
    <row r="9" spans="1:26" x14ac:dyDescent="0.3">
      <c r="A9" s="9"/>
      <c r="B9" s="9"/>
      <c r="C9" s="9"/>
      <c r="D9" s="9"/>
      <c r="E9" s="9"/>
      <c r="F9" s="9"/>
      <c r="G9" s="9"/>
      <c r="H9" s="9"/>
      <c r="I9" s="9"/>
      <c r="J9" s="9"/>
      <c r="K9" s="9"/>
      <c r="L9" s="9"/>
      <c r="M9" s="9"/>
      <c r="N9" s="9"/>
      <c r="O9" s="9"/>
      <c r="P9" s="9"/>
      <c r="Q9" s="9"/>
      <c r="R9" s="9"/>
      <c r="S9" s="9"/>
      <c r="T9" s="9"/>
      <c r="U9" s="9"/>
      <c r="V9" s="9"/>
      <c r="W9" s="9"/>
      <c r="X9" s="9"/>
      <c r="Y9" s="9"/>
      <c r="Z9" s="9"/>
    </row>
    <row r="10" spans="1:26"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sheetData>
  <mergeCells count="9">
    <mergeCell ref="B2:X2"/>
    <mergeCell ref="B4:E4"/>
    <mergeCell ref="B5:E5"/>
    <mergeCell ref="G4:J4"/>
    <mergeCell ref="G5:J5"/>
    <mergeCell ref="L5:O5"/>
    <mergeCell ref="L4:O4"/>
    <mergeCell ref="Q4:T4"/>
    <mergeCell ref="Q5: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vt:lpstr>
      <vt:lpstr>Netflix_Subscriber_Data</vt:lpstr>
      <vt:lpstr>Regional Churn Concentration (G</vt:lpstr>
      <vt:lpstr>Content Inventory Strategy (Gen</vt:lpstr>
      <vt:lpstr>Revenue Distribution by Subscri</vt:lpstr>
      <vt:lpstr>Device Engagement vs.Churn Rate</vt:lpstr>
      <vt:lpstr>Subscriber_Age</vt:lpstr>
      <vt:lpstr>Netflix_Subscriber_Dashboard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juhiborhade1994@gmail.com</cp:lastModifiedBy>
  <dcterms:created xsi:type="dcterms:W3CDTF">2026-09-29T11:33:17Z</dcterms:created>
  <dcterms:modified xsi:type="dcterms:W3CDTF">2026-10-11T17:05:33Z</dcterms:modified>
</cp:coreProperties>
</file>